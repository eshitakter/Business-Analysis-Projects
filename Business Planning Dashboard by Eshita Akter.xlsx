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BudgetActual" sheetId="1" state="visible" r:id="rId3"/>
    <sheet name="MBR_Dashboard" sheetId="2" state="visible" r:id="rId4"/>
    <sheet name="Variance_Analysis" sheetId="3" state="visible" r:id="rId5"/>
    <sheet name="Profitability_Analysis" sheetId="4" state="visible" r:id="rId6"/>
    <sheet name="Working_Capital_CashFlow" sheetId="5" state="visible" r:id="rId7"/>
    <sheet name="Feasibility_NewLine" sheetId="6" state="visible" r:id="rId8"/>
    <sheet name="Assumptions_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6" authorId="0">
      <text>
        <r>
          <rPr>
            <sz val="10"/>
            <rFont val="Arial"/>
            <family val="2"/>
          </rPr>
          <t xml:space="preserve">Category splits (% of COGS / % of Revenue) are illustrative planning assumptions, not sourced figures — see Assumptions &amp; Sources tab.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6" authorId="0">
      <text>
        <r>
          <rPr>
            <sz val="10"/>
            <rFont val="Arial"/>
            <family val="2"/>
          </rPr>
          <t xml:space="preserve">Customer revenue shares and contribution-margin % are illustrative planning assumptions (blue cells) — edit to fit real account mix.</t>
        </r>
      </text>
    </comment>
  </commentList>
</comments>
</file>

<file path=xl/sharedStrings.xml><?xml version="1.0" encoding="utf-8"?>
<sst xmlns="http://schemas.openxmlformats.org/spreadsheetml/2006/main" count="253" uniqueCount="161">
  <si>
    <t xml:space="preserve">Month</t>
  </si>
  <si>
    <t xml:space="preserve">MonthNum</t>
  </si>
  <si>
    <t xml:space="preserve">Product Line</t>
  </si>
  <si>
    <t xml:space="preserve">Budget Revenue (BDT '000)</t>
  </si>
  <si>
    <t xml:space="preserve">Actual Revenue (BDT '000)</t>
  </si>
  <si>
    <t xml:space="preserve">Budget COGS (BDT '000)</t>
  </si>
  <si>
    <t xml:space="preserve">Actual COGS (BDT '000)</t>
  </si>
  <si>
    <t xml:space="preserve">Budget GP (BDT '000)</t>
  </si>
  <si>
    <t xml:space="preserve">Actual GP (BDT '000)</t>
  </si>
  <si>
    <t xml:space="preserve">Rev Variance (BDT '000)</t>
  </si>
  <si>
    <t xml:space="preserve">Rev Variance %</t>
  </si>
  <si>
    <t xml:space="preserve">GP Variance (BDT '000)</t>
  </si>
  <si>
    <t xml:space="preserve">GP Variance %</t>
  </si>
  <si>
    <t xml:space="preserve">Jul-24</t>
  </si>
  <si>
    <t xml:space="preserve">Foil Laminate</t>
  </si>
  <si>
    <t xml:space="preserve">Film Laminate</t>
  </si>
  <si>
    <t xml:space="preserve">Paper Laminate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</si>
  <si>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</si>
  <si>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</si>
  <si>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</si>
  <si>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</si>
  <si>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</si>
  <si>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</si>
  <si>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</si>
  <si>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</si>
  <si>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</si>
  <si>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</si>
  <si>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</si>
  <si>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Note: illustrative monthly data built to a realistic flexible-packaging cost/margin profile for interview demonstration; see 'Assumptions &amp; Sources' tab.</t>
  </si>
  <si>
    <t xml:space="preserve">Premiaflex Plastics Limited (Illustrative) — Monthly Business Review Dashboard</t>
  </si>
  <si>
    <t xml:space="preserve">FY 2024–25 | Budget vs. Actual | Prepared for Business Planning interview demonstration</t>
  </si>
  <si>
    <t xml:space="preserve">YTD Actual Revenue (BDT '000)</t>
  </si>
  <si>
    <t xml:space="preserve">YTD Budget Revenue (BDT '000)</t>
  </si>
  <si>
    <t xml:space="preserve">Revenue Variance %</t>
  </si>
  <si>
    <t xml:space="preserve">YTD Actual GP Margin %</t>
  </si>
  <si>
    <t xml:space="preserve">YTD Budget GP Margin %</t>
  </si>
  <si>
    <t xml:space="preserve">Monthly Summary (all product lines)</t>
  </si>
  <si>
    <t xml:space="preserve">Budget Revenue</t>
  </si>
  <si>
    <t xml:space="preserve">Actual Revenue</t>
  </si>
  <si>
    <t xml:space="preserve">Rev Variance</t>
  </si>
  <si>
    <t xml:space="preserve">Rev Var %</t>
  </si>
  <si>
    <t xml:space="preserve">Budget GP</t>
  </si>
  <si>
    <t xml:space="preserve">Actual GP</t>
  </si>
  <si>
    <t xml:space="preserve">GP Variance</t>
  </si>
  <si>
    <t xml:space="preserve">Actual GP Margin %</t>
  </si>
  <si>
    <t xml:space="preserve">Budget GP Margin %</t>
  </si>
  <si>
    <t xml:space="preserve">Annual Cost Variance Analysis (FY 2024–25)</t>
  </si>
  <si>
    <t xml:space="preserve">Budget vs. Actual by cost category, with variance drivers for MBR discussion</t>
  </si>
  <si>
    <t xml:space="preserve">Total Budget Revenue (BDT '000)</t>
  </si>
  <si>
    <t xml:space="preserve">Total Actual Revenue (BDT '000)</t>
  </si>
  <si>
    <t xml:space="preserve">Total Budget COGS (BDT '000)</t>
  </si>
  <si>
    <t xml:space="preserve">Total Actual COGS (BDT '000)</t>
  </si>
  <si>
    <t xml:space="preserve">Cost Category</t>
  </si>
  <si>
    <t xml:space="preserve">Budget (BDT '000)</t>
  </si>
  <si>
    <t xml:space="preserve">Actual (BDT '000)</t>
  </si>
  <si>
    <t xml:space="preserve">Variance (BDT '000)</t>
  </si>
  <si>
    <t xml:space="preserve">Variance %</t>
  </si>
  <si>
    <t xml:space="preserve">Driver Commentary</t>
  </si>
  <si>
    <t xml:space="preserve">Raw Materials (Resin / Foil / Ink)</t>
  </si>
  <si>
    <t xml:space="preserve">Unfavorable — global resin &amp; aluminium foil prices rose faster than the budgeted rate; partly offset by better wastage control.</t>
  </si>
  <si>
    <t xml:space="preserve">Direct Labor</t>
  </si>
  <si>
    <t xml:space="preserve">Favorable — improved shift utilization on the new Flexo CI line reduced overtime.</t>
  </si>
  <si>
    <t xml:space="preserve">Manufacturing Overhead (Power, Maintenance)</t>
  </si>
  <si>
    <t xml:space="preserve">Broadly on budget — a planned maintenance shutdown in Nov-24 offset lower grid tariffs.</t>
  </si>
  <si>
    <t xml:space="preserve">Distribution &amp; Freight</t>
  </si>
  <si>
    <t xml:space="preserve">Unfavorable — higher fuel surcharges and a shift toward smaller, more frequent MNC deliveries.</t>
  </si>
  <si>
    <t xml:space="preserve">Selling &amp; Admin Expenses</t>
  </si>
  <si>
    <t xml:space="preserve">Favorable — admin cost discipline and lower travel spend versus plan.</t>
  </si>
  <si>
    <t xml:space="preserve">Total Cost Base</t>
  </si>
  <si>
    <t xml:space="preserve">Product-wise and Customer-wise Profitability Analysis (FY 2024–25 Actuals)</t>
  </si>
  <si>
    <t xml:space="preserve">1. Product-wise Profitability</t>
  </si>
  <si>
    <t xml:space="preserve">Revenue (BDT '000)</t>
  </si>
  <si>
    <t xml:space="preserve">Variable Cost (BDT '000)</t>
  </si>
  <si>
    <t xml:space="preserve">Contribution Margin (BDT '000)</t>
  </si>
  <si>
    <t xml:space="preserve">CM %</t>
  </si>
  <si>
    <t xml:space="preserve">Allocated Fixed OH (BDT '000)</t>
  </si>
  <si>
    <t xml:space="preserve">Net Profit (BDT '000)</t>
  </si>
  <si>
    <t xml:space="preserve">Net Margin %</t>
  </si>
  <si>
    <t xml:space="preserve">Total</t>
  </si>
  <si>
    <t xml:space="preserve">2. Customer-wise Profitability</t>
  </si>
  <si>
    <t xml:space="preserve">Customer</t>
  </si>
  <si>
    <t xml:space="preserve">Revenue Share %</t>
  </si>
  <si>
    <t xml:space="preserve">Contribution Margin %</t>
  </si>
  <si>
    <t xml:space="preserve">Unilever</t>
  </si>
  <si>
    <t xml:space="preserve">Marico</t>
  </si>
  <si>
    <t xml:space="preserve">Emami</t>
  </si>
  <si>
    <t xml:space="preserve">Coca-Cola</t>
  </si>
  <si>
    <t xml:space="preserve">British American Tobacco (BAT)</t>
  </si>
  <si>
    <t xml:space="preserve">Other B2B Customers</t>
  </si>
  <si>
    <t xml:space="preserve">Working Capital &amp; Cash Conversion Cycle (FY 2024–25, Monthly)</t>
  </si>
  <si>
    <t xml:space="preserve">Target Days on Hand (edit blue cells):</t>
  </si>
  <si>
    <t xml:space="preserve">DIO (Inventory days)</t>
  </si>
  <si>
    <t xml:space="preserve">DSO (Receivable days)</t>
  </si>
  <si>
    <t xml:space="preserve">DPO (Payable days)</t>
  </si>
  <si>
    <t xml:space="preserve">Actual COGS</t>
  </si>
  <si>
    <t xml:space="preserve">Inventory</t>
  </si>
  <si>
    <t xml:space="preserve">Receivables</t>
  </si>
  <si>
    <t xml:space="preserve">Payables</t>
  </si>
  <si>
    <t xml:space="preserve">Net Working Capital</t>
  </si>
  <si>
    <t xml:space="preserve">DIO (days)</t>
  </si>
  <si>
    <t xml:space="preserve">DSO (days)</t>
  </si>
  <si>
    <t xml:space="preserve">CCC (days)</t>
  </si>
  <si>
    <t xml:space="preserve">FY Average</t>
  </si>
  <si>
    <t xml:space="preserve">Financial Feasibility: New Lamination Line (Capacity Expansion)</t>
  </si>
  <si>
    <t xml:space="preserve">Illustrative scenario analysis for a management investment decision (interview demo)</t>
  </si>
  <si>
    <t xml:space="preserve">Key Assumptions</t>
  </si>
  <si>
    <t xml:space="preserve">Capital Investment (BDT '000)</t>
  </si>
  <si>
    <t xml:space="preserve">Year 1 Incremental Revenue (BDT '000)</t>
  </si>
  <si>
    <t xml:space="preserve">Annual Revenue Growth Rate</t>
  </si>
  <si>
    <t xml:space="preserve">Variable Cost % of Revenue</t>
  </si>
  <si>
    <t xml:space="preserve">Incremental Fixed OpEx (BDT '000/yr)</t>
  </si>
  <si>
    <t xml:space="preserve">Project Life (years)</t>
  </si>
  <si>
    <t xml:space="preserve">Tax Rate</t>
  </si>
  <si>
    <t xml:space="preserve">Discount Rate (WACC)</t>
  </si>
  <si>
    <t xml:space="preserve">5-Year Cash Flow Projection</t>
  </si>
  <si>
    <t xml:space="preserve">Line Item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</si>
  <si>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</si>
  <si>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</si>
  <si>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</si>
  <si>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</si>
  <si>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</si>
  <si>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</si>
  <si>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</si>
  <si>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Variable Cost</t>
  </si>
  <si>
    <t xml:space="preserve">Contribution Margin</t>
  </si>
  <si>
    <t xml:space="preserve">Fixed OpEx</t>
  </si>
  <si>
    <t xml:space="preserve">EBITDA</t>
  </si>
  <si>
    <t xml:space="preserve">Depreciation</t>
  </si>
  <si>
    <t xml:space="preserve">EBIT</t>
  </si>
  <si>
    <t xml:space="preserve">Tax</t>
  </si>
  <si>
    <t xml:space="preserve">Net Income</t>
  </si>
  <si>
    <t xml:space="preserve">Net Cash Flow</t>
  </si>
  <si>
    <t xml:space="preserve">Cumulative Cash Flow</t>
  </si>
  <si>
    <t xml:space="preserve">Project NPV (BDT '000)</t>
  </si>
  <si>
    <t xml:space="preserve">Project IRR</t>
  </si>
  <si>
    <t xml:space="preserve">Simple Payback (years, approx.)</t>
  </si>
  <si>
    <t xml:space="preserve">Sensitivity: Year 1 EBITDA (BDT '000)</t>
  </si>
  <si>
    <t xml:space="preserve">Revenue \ Variable Cost %</t>
  </si>
  <si>
    <t xml:space="preserve">VC -15%</t>
  </si>
  <si>
    <t xml:space="preserve">VC +0%</t>
  </si>
  <si>
    <t xml:space="preserve">VC +15%</t>
  </si>
  <si>
    <t xml:space="preserve">Rev -10%</t>
  </si>
  <si>
    <t xml:space="preserve">Rev +0%</t>
  </si>
  <si>
    <t xml:space="preserve">Rev +10%</t>
  </si>
  <si>
    <t xml:space="preserve">Assumptions &amp; Data Sources</t>
  </si>
  <si>
    <t xml:space="preserve">Purpose</t>
  </si>
  <si>
    <t xml:space="preserve">Demonstration workbook built for a Business Planning interview at ACI Premiaflex Plastics Limited. It models the analyses named in the job description (budgeting, MBR dashboards, variance analysis, profitability analysis, feasibility/ROI, and working-capital planning) on a flexible-packaging cost structure.</t>
  </si>
  <si>
    <t xml:space="preserve">Company scale &amp; margin benchmark</t>
  </si>
  <si>
    <t xml:space="preserve">ACI Limited's consolidated FY2023-24 turnover was BDT 124,315.9 million; the 'Others' segment (which includes Flexible Packaging, alongside Fertilizer and Seed) contributed roughly 25% of group revenue at an estimated ~5% PBT margin. Source: ACI Limited Annual Report FY2023-24 financial-statement analysis (https://www.scribd.com/document/909180738/ACI-FY2023-24-Analysis-Report). Premiaflex itself does not report standalone financials publicly, so the workbook's revenue scale (~BDT 950 million/year) and product/customer mix are illustrative planning assumptions calibrated to a mid-size Bangladeshi flexible packaging converter — not Premiaflex's actual figures.</t>
  </si>
  <si>
    <t xml:space="preserve">Product lines</t>
  </si>
  <si>
    <t xml:space="preserve">Foil, Film and Paper laminates, matching Premiaflex's stated Flexo CI / Roto-Gravure product scope in the job posting.</t>
  </si>
  <si>
    <t xml:space="preserve">Named customers</t>
  </si>
  <si>
    <t xml:space="preserve">Unilever, Marico, Emami, Coca-Cola and BAT are the clients named in ACI Premiaflex's own job posting as trusted customers; the revenue-share and margin percentages assigned to each in the Profitability sheet are illustrative assumptions for the demo, not disclosed account data.</t>
  </si>
  <si>
    <t xml:space="preserve">Gross margin &amp; cost ratios</t>
  </si>
  <si>
    <t xml:space="preserve">Budgeted gross margin of ~32% (COGS ~68% of revenue) and the raw-material/labor/overhead split are typical planning ranges for flexible-packaging converters; flagged as assumptions, not sourced figures.</t>
  </si>
  <si>
    <t xml:space="preserve">Working capital targets</t>
  </si>
  <si>
    <t xml:space="preserve">DIO 45 / DSO 55 / DPO 40 days reflect typical terms for a converter supplying large multinational FMCG customers (longer receivable cycles, moderate inventory buffers for imported film/foil) — editable blue-font assumption cells on the Working_Capital_CashFlow tab.</t>
  </si>
  <si>
    <t xml:space="preserve">New-line feasibility</t>
  </si>
  <si>
    <t xml:space="preserve">Capex, revenue ramp, cost and discount-rate assumptions on the Feasibility_NewLine tab are illustrative planning inputs for a hypothetical capacity-expansion decision, structured the way an ROI/NPV case would be built for management.</t>
  </si>
  <si>
    <t xml:space="preserve">How to use in the interview</t>
  </si>
  <si>
    <t xml:space="preserve">Talk through the model logic (how each tab links to Data_BudgetActual via SUMIFS), not the specific numbers as if they were Premiaflex's real results — be upfront that this is a self-built illustrative model demonstrating the analytical approach, using industry-realistic assumptions.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</si>
</sst>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#,##0"/>
    <numFmt numFmtId="168" formatCode="0%"/>
    <numFmt numFmtId="169" formatCode="0"/>
    <numFmt numFmtId="170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Budget vs. Actual (BDT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MBR_Dashboard!C9</c:f>
              <c:strCache>
                <c:ptCount val="1"/>
                <c:pt idx="0">
                  <c:v>Budget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MBR_Dashboard!$A$10:$A$21</c:f>
              <c:strCache>
                <c:ptCount val="12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  <c:pt idx="11">
                  <c:v>Jun-25</c:v>
                </c:pt>
              </c:strCache>
            </c:strRef>
          </c:cat>
          <c:val>
            <c:numRef>
              <c:f>MBR_Dashboard!$C$10:$C$21</c:f>
              <c:numCache>
                <c:formatCode>#,##0;\(#,##0\);\-</c:formatCode>
                <c:ptCount val="12"/>
                <c:pt idx="0">
                  <c:v>71250</c:v>
                </c:pt>
                <c:pt idx="1">
                  <c:v>67291</c:v>
                </c:pt>
                <c:pt idx="2">
                  <c:v>75209</c:v>
                </c:pt>
                <c:pt idx="3">
                  <c:v>91042</c:v>
                </c:pt>
                <c:pt idx="4">
                  <c:v>95000</c:v>
                </c:pt>
                <c:pt idx="5">
                  <c:v>91042</c:v>
                </c:pt>
                <c:pt idx="6">
                  <c:v>79166</c:v>
                </c:pt>
                <c:pt idx="7">
                  <c:v>75209</c:v>
                </c:pt>
                <c:pt idx="8">
                  <c:v>79166</c:v>
                </c:pt>
                <c:pt idx="9">
                  <c:v>75209</c:v>
                </c:pt>
                <c:pt idx="10">
                  <c:v>75209</c:v>
                </c:pt>
                <c:pt idx="11">
                  <c:v>75209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MBR_Dashboard!D9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MBR_Dashboard!$A$10:$A$21</c:f>
              <c:strCache>
                <c:ptCount val="12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  <c:pt idx="11">
                  <c:v>Jun-25</c:v>
                </c:pt>
              </c:strCache>
            </c:strRef>
          </c:cat>
          <c:val>
            <c:numRef>
              <c:f>MBR_Dashboard!$D$10:$D$21</c:f>
              <c:numCache>
                <c:formatCode>#,##0;\(#,##0\);\-</c:formatCode>
                <c:ptCount val="12"/>
                <c:pt idx="0">
                  <c:v>72364</c:v>
                </c:pt>
                <c:pt idx="1">
                  <c:v>69089</c:v>
                </c:pt>
                <c:pt idx="2">
                  <c:v>73029</c:v>
                </c:pt>
                <c:pt idx="3">
                  <c:v>95466</c:v>
                </c:pt>
                <c:pt idx="4">
                  <c:v>98219</c:v>
                </c:pt>
                <c:pt idx="5">
                  <c:v>94027</c:v>
                </c:pt>
                <c:pt idx="6">
                  <c:v>84457</c:v>
                </c:pt>
                <c:pt idx="7">
                  <c:v>71232</c:v>
                </c:pt>
                <c:pt idx="8">
                  <c:v>79516</c:v>
                </c:pt>
                <c:pt idx="9">
                  <c:v>74393</c:v>
                </c:pt>
                <c:pt idx="10">
                  <c:v>80142</c:v>
                </c:pt>
                <c:pt idx="11">
                  <c:v>72654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957414"/>
        <c:axId val="20958664"/>
      </c:lineChart>
      <c:catAx>
        <c:axId val="39957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58664"/>
        <c:crosses val="autoZero"/>
        <c:auto val="1"/>
        <c:lblAlgn val="ctr"/>
        <c:lblOffset val="100"/>
        <c:noMultiLvlLbl val="0"/>
      </c:catAx>
      <c:valAx>
        <c:axId val="20958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BDT '000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57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Profit Margin %: Budget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MBR_Dashboard!J9</c:f>
              <c:strCache>
                <c:ptCount val="1"/>
                <c:pt idx="0">
                  <c:v>Actual GP Margin 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MBR_Dashboard!$A$10:$A$21</c:f>
              <c:strCache>
                <c:ptCount val="12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  <c:pt idx="11">
                  <c:v>Jun-25</c:v>
                </c:pt>
              </c:strCache>
            </c:strRef>
          </c:cat>
          <c:val>
            <c:numRef>
              <c:f>MBR_Dashboard!$J$10:$J$21</c:f>
              <c:numCache>
                <c:formatCode>0.0%</c:formatCode>
                <c:ptCount val="12"/>
                <c:pt idx="0">
                  <c:v>0.324152893704052</c:v>
                </c:pt>
                <c:pt idx="1">
                  <c:v>0.329792007410731</c:v>
                </c:pt>
                <c:pt idx="2">
                  <c:v>0.311615933396322</c:v>
                </c:pt>
                <c:pt idx="3">
                  <c:v>0.320375840613412</c:v>
                </c:pt>
                <c:pt idx="4">
                  <c:v>0.317871287632739</c:v>
                </c:pt>
                <c:pt idx="5">
                  <c:v>0.285439288714944</c:v>
                </c:pt>
                <c:pt idx="6">
                  <c:v>0.305587458706798</c:v>
                </c:pt>
                <c:pt idx="7">
                  <c:v>0.321274146451033</c:v>
                </c:pt>
                <c:pt idx="8">
                  <c:v>0.310478394285427</c:v>
                </c:pt>
                <c:pt idx="9">
                  <c:v>0.297622088099687</c:v>
                </c:pt>
                <c:pt idx="10">
                  <c:v>0.292231289461206</c:v>
                </c:pt>
                <c:pt idx="11">
                  <c:v>0.31926666116112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MBR_Dashboard!K9</c:f>
              <c:strCache>
                <c:ptCount val="1"/>
                <c:pt idx="0">
                  <c:v>Budget GP Margin %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MBR_Dashboard!$A$10:$A$21</c:f>
              <c:strCache>
                <c:ptCount val="12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  <c:pt idx="11">
                  <c:v>Jun-25</c:v>
                </c:pt>
              </c:strCache>
            </c:strRef>
          </c:cat>
          <c:val>
            <c:numRef>
              <c:f>MBR_Dashboard!$K$10:$K$21</c:f>
              <c:numCache>
                <c:formatCode>0.0%</c:formatCode>
                <c:ptCount val="12"/>
                <c:pt idx="0">
                  <c:v>0.32</c:v>
                </c:pt>
                <c:pt idx="1">
                  <c:v>0.320013077528942</c:v>
                </c:pt>
                <c:pt idx="2">
                  <c:v>0.319988299272693</c:v>
                </c:pt>
                <c:pt idx="3">
                  <c:v>0.320006151007227</c:v>
                </c:pt>
                <c:pt idx="4">
                  <c:v>0.32</c:v>
                </c:pt>
                <c:pt idx="5">
                  <c:v>0.320006151007227</c:v>
                </c:pt>
                <c:pt idx="6">
                  <c:v>0.320011115883081</c:v>
                </c:pt>
                <c:pt idx="7">
                  <c:v>0.319988299272693</c:v>
                </c:pt>
                <c:pt idx="8">
                  <c:v>0.320011115883081</c:v>
                </c:pt>
                <c:pt idx="9">
                  <c:v>0.319988299272693</c:v>
                </c:pt>
                <c:pt idx="10">
                  <c:v>0.319988299272693</c:v>
                </c:pt>
                <c:pt idx="11">
                  <c:v>0.319988299272693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54391"/>
        <c:axId val="33212396"/>
      </c:lineChart>
      <c:catAx>
        <c:axId val="3254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12396"/>
        <c:crosses val="autoZero"/>
        <c:auto val="1"/>
        <c:lblAlgn val="ctr"/>
        <c:lblOffset val="100"/>
        <c:noMultiLvlLbl val="0"/>
      </c:catAx>
      <c:valAx>
        <c:axId val="33212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GP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4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Margin %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Profitability_Analysis!E4</c:f>
              <c:strCache>
                <c:ptCount val="1"/>
                <c:pt idx="0">
                  <c:v>CM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Profitability_Analysis!$A$5:$A$7</c:f>
              <c:strCache>
                <c:ptCount val="3"/>
                <c:pt idx="0">
                  <c:v>Foil Laminate</c:v>
                </c:pt>
                <c:pt idx="1">
                  <c:v>Film Laminate</c:v>
                </c:pt>
                <c:pt idx="2">
                  <c:v>Paper Laminate</c:v>
                </c:pt>
              </c:strCache>
            </c:strRef>
          </c:cat>
          <c:val>
            <c:numRef>
              <c:f>Profitability_Analysis!$E$5:$E$7</c:f>
              <c:numCache>
                <c:formatCode>0.0%</c:formatCode>
                <c:ptCount val="3"/>
                <c:pt idx="0">
                  <c:v>0.316266703949416</c:v>
                </c:pt>
                <c:pt idx="1">
                  <c:v>0.308055214742421</c:v>
                </c:pt>
                <c:pt idx="2">
                  <c:v>0.302750162348804</c:v>
                </c:pt>
              </c:numCache>
            </c:numRef>
          </c:val>
        </c:ser>
        <c:gapWidth val="150"/>
        <c:overlap val="0"/>
        <c:axId val="18097149"/>
        <c:axId val="1487513"/>
      </c:barChart>
      <c:catAx>
        <c:axId val="180971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7513"/>
        <c:crosses val="autoZero"/>
        <c:auto val="1"/>
        <c:lblAlgn val="ctr"/>
        <c:lblOffset val="100"/>
        <c:noMultiLvlLbl val="0"/>
      </c:catAx>
      <c:valAx>
        <c:axId val="1487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971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Conversion Cycle Trend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Working_Capital_CashFlow!J8</c:f>
              <c:strCache>
                <c:ptCount val="1"/>
                <c:pt idx="0">
                  <c:v>CCC (days)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Working_Capital_CashFlow!$A$9:$A$20</c:f>
              <c:strCache>
                <c:ptCount val="12"/>
                <c:pt idx="0">
                  <c:v>Jul-24</c:v>
                </c:pt>
                <c:pt idx="1">
                  <c:v>Aug-24</c:v>
                </c:pt>
                <c:pt idx="2">
                  <c:v>Sep-24</c:v>
                </c:pt>
                <c:pt idx="3">
                  <c:v>Oct-24</c:v>
                </c:pt>
                <c:pt idx="4">
                  <c:v>Nov-24</c:v>
                </c:pt>
                <c:pt idx="5">
                  <c:v>Dec-24</c:v>
                </c:pt>
                <c:pt idx="6">
                  <c:v>Jan-25</c:v>
                </c:pt>
                <c:pt idx="7">
                  <c:v>Feb-25</c:v>
                </c:pt>
                <c:pt idx="8">
                  <c:v>Mar-25</c:v>
                </c:pt>
                <c:pt idx="9">
                  <c:v>Apr-25</c:v>
                </c:pt>
                <c:pt idx="10">
                  <c:v>May-25</c:v>
                </c:pt>
                <c:pt idx="11">
                  <c:v>Jun-25</c:v>
                </c:pt>
              </c:strCache>
            </c:strRef>
          </c:cat>
          <c:val>
            <c:numRef>
              <c:f>Working_Capital_CashFlow!$J$9:$J$20</c:f>
              <c:numCache>
                <c:formatCode>0</c:formatCode>
                <c:ptCount val="1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88241"/>
        <c:axId val="35377109"/>
      </c:lineChart>
      <c:catAx>
        <c:axId val="18988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77109"/>
        <c:crosses val="autoZero"/>
        <c:auto val="1"/>
        <c:lblAlgn val="ctr"/>
        <c:lblOffset val="100"/>
        <c:noMultiLvlLbl val="0"/>
      </c:catAx>
      <c:valAx>
        <c:axId val="35377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88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119520</xdr:rowOff>
    </xdr:from>
    <xdr:to>
      <xdr:col>5</xdr:col>
      <xdr:colOff>840960</xdr:colOff>
      <xdr:row>36</xdr:row>
      <xdr:rowOff>141480</xdr:rowOff>
    </xdr:to>
    <xdr:graphicFrame>
      <xdr:nvGraphicFramePr>
        <xdr:cNvPr id="0" name="Chart 1"/>
        <xdr:cNvGraphicFramePr/>
      </xdr:nvGraphicFramePr>
      <xdr:xfrm>
        <a:off x="0" y="4381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38</xdr:row>
      <xdr:rowOff>119520</xdr:rowOff>
    </xdr:from>
    <xdr:to>
      <xdr:col>5</xdr:col>
      <xdr:colOff>840960</xdr:colOff>
      <xdr:row>53</xdr:row>
      <xdr:rowOff>141480</xdr:rowOff>
    </xdr:to>
    <xdr:graphicFrame>
      <xdr:nvGraphicFramePr>
        <xdr:cNvPr id="1" name="Chart 2"/>
        <xdr:cNvGraphicFramePr/>
      </xdr:nvGraphicFramePr>
      <xdr:xfrm>
        <a:off x="0" y="7620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18360</xdr:rowOff>
    </xdr:from>
    <xdr:to>
      <xdr:col>3</xdr:col>
      <xdr:colOff>1233360</xdr:colOff>
      <xdr:row>24</xdr:row>
      <xdr:rowOff>40680</xdr:rowOff>
    </xdr:to>
    <xdr:graphicFrame>
      <xdr:nvGraphicFramePr>
        <xdr:cNvPr id="2" name="Chart 1"/>
        <xdr:cNvGraphicFramePr/>
      </xdr:nvGraphicFramePr>
      <xdr:xfrm>
        <a:off x="0" y="1905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18360</xdr:rowOff>
    </xdr:from>
    <xdr:to>
      <xdr:col>6</xdr:col>
      <xdr:colOff>825840</xdr:colOff>
      <xdr:row>38</xdr:row>
      <xdr:rowOff>40680</xdr:rowOff>
    </xdr:to>
    <xdr:graphicFrame>
      <xdr:nvGraphicFramePr>
        <xdr:cNvPr id="3" name="Chart 1"/>
        <xdr:cNvGraphicFramePr/>
      </xdr:nvGraphicFramePr>
      <xdr:xfrm>
        <a:off x="0" y="4572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5" min="4" style="0" width="20"/>
    <col collapsed="false" customWidth="true" hidden="false" outlineLevel="0" max="7" min="6" style="0" width="18"/>
    <col collapsed="false" customWidth="true" hidden="false" outlineLevel="0" max="10" min="8" style="0" width="16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v>1</v>
      </c>
      <c r="C2" s="2" t="s">
        <v>14</v>
      </c>
      <c r="D2" s="3" t="n">
        <v>32062</v>
      </c>
      <c r="E2" s="3" t="n">
        <v>33187</v>
      </c>
      <c r="F2" s="3" t="n">
        <v>21802</v>
      </c>
      <c r="G2" s="3" t="n">
        <v>21962</v>
      </c>
      <c r="H2" s="4" t="n">
        <f aca="false">D2-F2</f>
        <v>10260</v>
      </c>
      <c r="I2" s="4" t="n">
        <f aca="false">E2-G2</f>
        <v>11225</v>
      </c>
      <c r="J2" s="4" t="n">
        <f aca="false">E2-D2</f>
        <v>1125</v>
      </c>
      <c r="K2" s="5" t="n">
        <f aca="false">IFERROR(J2/D2,0)</f>
        <v>0.0350882664836879</v>
      </c>
      <c r="L2" s="4" t="n">
        <f aca="false">I2-H2</f>
        <v>965</v>
      </c>
      <c r="M2" s="5" t="n">
        <f aca="false">IFERROR(L2/H2,0)</f>
        <v>0.0940545808966862</v>
      </c>
    </row>
    <row r="3" customFormat="false" ht="15" hidden="false" customHeight="false" outlineLevel="0" collapsed="false">
      <c r="A3" s="2" t="s">
        <v>13</v>
      </c>
      <c r="B3" s="2" t="n">
        <v>1</v>
      </c>
      <c r="C3" s="2" t="s">
        <v>15</v>
      </c>
      <c r="D3" s="3" t="n">
        <v>24938</v>
      </c>
      <c r="E3" s="3" t="n">
        <v>24178</v>
      </c>
      <c r="F3" s="3" t="n">
        <v>16958</v>
      </c>
      <c r="G3" s="3" t="n">
        <v>16335</v>
      </c>
      <c r="H3" s="4" t="n">
        <f aca="false">D3-F3</f>
        <v>7980</v>
      </c>
      <c r="I3" s="4" t="n">
        <f aca="false">E3-G3</f>
        <v>7843</v>
      </c>
      <c r="J3" s="4" t="n">
        <f aca="false">E3-D3</f>
        <v>-760</v>
      </c>
      <c r="K3" s="5" t="n">
        <f aca="false">IFERROR(J3/D3,0)</f>
        <v>-0.0304755794370038</v>
      </c>
      <c r="L3" s="4" t="n">
        <f aca="false">I3-H3</f>
        <v>-137</v>
      </c>
      <c r="M3" s="5" t="n">
        <f aca="false">IFERROR(L3/H3,0)</f>
        <v>-0.0171679197994987</v>
      </c>
    </row>
    <row r="4" customFormat="false" ht="15" hidden="false" customHeight="false" outlineLevel="0" collapsed="false">
      <c r="A4" s="2" t="s">
        <v>13</v>
      </c>
      <c r="B4" s="2" t="n">
        <v>1</v>
      </c>
      <c r="C4" s="2" t="s">
        <v>16</v>
      </c>
      <c r="D4" s="3" t="n">
        <v>14250</v>
      </c>
      <c r="E4" s="3" t="n">
        <v>14999</v>
      </c>
      <c r="F4" s="3" t="n">
        <v>9690</v>
      </c>
      <c r="G4" s="3" t="n">
        <v>10610</v>
      </c>
      <c r="H4" s="4" t="n">
        <f aca="false">D4-F4</f>
        <v>4560</v>
      </c>
      <c r="I4" s="4" t="n">
        <f aca="false">E4-G4</f>
        <v>4389</v>
      </c>
      <c r="J4" s="4" t="n">
        <f aca="false">E4-D4</f>
        <v>749</v>
      </c>
      <c r="K4" s="5" t="n">
        <f aca="false">IFERROR(J4/D4,0)</f>
        <v>0.0525614035087719</v>
      </c>
      <c r="L4" s="4" t="n">
        <f aca="false">I4-H4</f>
        <v>-171</v>
      </c>
      <c r="M4" s="5" t="n">
        <f aca="false">IFERROR(L4/H4,0)</f>
        <v>-0.0375</v>
      </c>
    </row>
    <row r="5" customFormat="false" ht="15" hidden="false" customHeight="false" outlineLevel="0" collapsed="false">
      <c r="A5" s="2" t="s">
        <v>17</v>
      </c>
      <c r="B5" s="2" t="n">
        <v>2</v>
      </c>
      <c r="C5" s="2" t="s">
        <v>14</v>
      </c>
      <c r="D5" s="3" t="n">
        <v>30281</v>
      </c>
      <c r="E5" s="3" t="n">
        <v>32721</v>
      </c>
      <c r="F5" s="3" t="n">
        <v>20591</v>
      </c>
      <c r="G5" s="3" t="n">
        <v>21795</v>
      </c>
      <c r="H5" s="4" t="n">
        <f aca="false">D5-F5</f>
        <v>9690</v>
      </c>
      <c r="I5" s="4" t="n">
        <f aca="false">E5-G5</f>
        <v>10926</v>
      </c>
      <c r="J5" s="4" t="n">
        <f aca="false">E5-D5</f>
        <v>2440</v>
      </c>
      <c r="K5" s="5" t="n">
        <f aca="false">IFERROR(J5/D5,0)</f>
        <v>0.0805785806281166</v>
      </c>
      <c r="L5" s="4" t="n">
        <f aca="false">I5-H5</f>
        <v>1236</v>
      </c>
      <c r="M5" s="5" t="n">
        <f aca="false">IFERROR(L5/H5,0)</f>
        <v>0.127554179566563</v>
      </c>
    </row>
    <row r="6" customFormat="false" ht="15" hidden="false" customHeight="false" outlineLevel="0" collapsed="false">
      <c r="A6" s="2" t="s">
        <v>17</v>
      </c>
      <c r="B6" s="2" t="n">
        <v>2</v>
      </c>
      <c r="C6" s="2" t="s">
        <v>15</v>
      </c>
      <c r="D6" s="3" t="n">
        <v>23552</v>
      </c>
      <c r="E6" s="3" t="n">
        <v>23457</v>
      </c>
      <c r="F6" s="3" t="n">
        <v>16015</v>
      </c>
      <c r="G6" s="3" t="n">
        <v>15531</v>
      </c>
      <c r="H6" s="4" t="n">
        <f aca="false">D6-F6</f>
        <v>7537</v>
      </c>
      <c r="I6" s="4" t="n">
        <f aca="false">E6-G6</f>
        <v>7926</v>
      </c>
      <c r="J6" s="4" t="n">
        <f aca="false">E6-D6</f>
        <v>-95</v>
      </c>
      <c r="K6" s="5" t="n">
        <f aca="false">IFERROR(J6/D6,0)</f>
        <v>-0.0040336277173913</v>
      </c>
      <c r="L6" s="4" t="n">
        <f aca="false">I6-H6</f>
        <v>389</v>
      </c>
      <c r="M6" s="5" t="n">
        <f aca="false">IFERROR(L6/H6,0)</f>
        <v>0.0516120472336473</v>
      </c>
    </row>
    <row r="7" customFormat="false" ht="15" hidden="false" customHeight="false" outlineLevel="0" collapsed="false">
      <c r="A7" s="2" t="s">
        <v>17</v>
      </c>
      <c r="B7" s="2" t="n">
        <v>2</v>
      </c>
      <c r="C7" s="2" t="s">
        <v>16</v>
      </c>
      <c r="D7" s="3" t="n">
        <v>13458</v>
      </c>
      <c r="E7" s="3" t="n">
        <v>12911</v>
      </c>
      <c r="F7" s="3" t="n">
        <v>9151</v>
      </c>
      <c r="G7" s="3" t="n">
        <v>8978</v>
      </c>
      <c r="H7" s="4" t="n">
        <f aca="false">D7-F7</f>
        <v>4307</v>
      </c>
      <c r="I7" s="4" t="n">
        <f aca="false">E7-G7</f>
        <v>3933</v>
      </c>
      <c r="J7" s="4" t="n">
        <f aca="false">E7-D7</f>
        <v>-547</v>
      </c>
      <c r="K7" s="5" t="n">
        <f aca="false">IFERROR(J7/D7,0)</f>
        <v>-0.0406449695348492</v>
      </c>
      <c r="L7" s="4" t="n">
        <f aca="false">I7-H7</f>
        <v>-374</v>
      </c>
      <c r="M7" s="5" t="n">
        <f aca="false">IFERROR(L7/H7,0)</f>
        <v>-0.0868353842581844</v>
      </c>
    </row>
    <row r="8" customFormat="false" ht="15" hidden="false" customHeight="false" outlineLevel="0" collapsed="false">
      <c r="A8" s="2" t="s">
        <v>18</v>
      </c>
      <c r="B8" s="2" t="n">
        <v>3</v>
      </c>
      <c r="C8" s="2" t="s">
        <v>14</v>
      </c>
      <c r="D8" s="3" t="n">
        <v>33844</v>
      </c>
      <c r="E8" s="3" t="n">
        <v>31298</v>
      </c>
      <c r="F8" s="3" t="n">
        <v>23014</v>
      </c>
      <c r="G8" s="3" t="n">
        <v>21092</v>
      </c>
      <c r="H8" s="4" t="n">
        <f aca="false">D8-F8</f>
        <v>10830</v>
      </c>
      <c r="I8" s="4" t="n">
        <f aca="false">E8-G8</f>
        <v>10206</v>
      </c>
      <c r="J8" s="4" t="n">
        <f aca="false">E8-D8</f>
        <v>-2546</v>
      </c>
      <c r="K8" s="5" t="n">
        <f aca="false">IFERROR(J8/D8,0)</f>
        <v>-0.0752275144781941</v>
      </c>
      <c r="L8" s="4" t="n">
        <f aca="false">I8-H8</f>
        <v>-624</v>
      </c>
      <c r="M8" s="5" t="n">
        <f aca="false">IFERROR(L8/H8,0)</f>
        <v>-0.057617728531856</v>
      </c>
    </row>
    <row r="9" customFormat="false" ht="15" hidden="false" customHeight="false" outlineLevel="0" collapsed="false">
      <c r="A9" s="2" t="s">
        <v>18</v>
      </c>
      <c r="B9" s="2" t="n">
        <v>3</v>
      </c>
      <c r="C9" s="2" t="s">
        <v>15</v>
      </c>
      <c r="D9" s="3" t="n">
        <v>26323</v>
      </c>
      <c r="E9" s="3" t="n">
        <v>27296</v>
      </c>
      <c r="F9" s="3" t="n">
        <v>17900</v>
      </c>
      <c r="G9" s="3" t="n">
        <v>19057</v>
      </c>
      <c r="H9" s="4" t="n">
        <f aca="false">D9-F9</f>
        <v>8423</v>
      </c>
      <c r="I9" s="4" t="n">
        <f aca="false">E9-G9</f>
        <v>8239</v>
      </c>
      <c r="J9" s="4" t="n">
        <f aca="false">E9-D9</f>
        <v>973</v>
      </c>
      <c r="K9" s="5" t="n">
        <f aca="false">IFERROR(J9/D9,0)</f>
        <v>0.0369638718990996</v>
      </c>
      <c r="L9" s="4" t="n">
        <f aca="false">I9-H9</f>
        <v>-184</v>
      </c>
      <c r="M9" s="5" t="n">
        <f aca="false">IFERROR(L9/H9,0)</f>
        <v>-0.0218449483556927</v>
      </c>
    </row>
    <row r="10" customFormat="false" ht="15" hidden="false" customHeight="false" outlineLevel="0" collapsed="false">
      <c r="A10" s="2" t="s">
        <v>18</v>
      </c>
      <c r="B10" s="2" t="n">
        <v>3</v>
      </c>
      <c r="C10" s="2" t="s">
        <v>16</v>
      </c>
      <c r="D10" s="3" t="n">
        <v>15042</v>
      </c>
      <c r="E10" s="3" t="n">
        <v>14435</v>
      </c>
      <c r="F10" s="3" t="n">
        <v>10229</v>
      </c>
      <c r="G10" s="3" t="n">
        <v>10123</v>
      </c>
      <c r="H10" s="4" t="n">
        <f aca="false">D10-F10</f>
        <v>4813</v>
      </c>
      <c r="I10" s="4" t="n">
        <f aca="false">E10-G10</f>
        <v>4312</v>
      </c>
      <c r="J10" s="4" t="n">
        <f aca="false">E10-D10</f>
        <v>-607</v>
      </c>
      <c r="K10" s="5" t="n">
        <f aca="false">IFERROR(J10/D10,0)</f>
        <v>-0.0403536763728228</v>
      </c>
      <c r="L10" s="4" t="n">
        <f aca="false">I10-H10</f>
        <v>-501</v>
      </c>
      <c r="M10" s="5" t="n">
        <f aca="false">IFERROR(L10/H10,0)</f>
        <v>-0.104093081238313</v>
      </c>
    </row>
    <row r="11" customFormat="false" ht="15" hidden="false" customHeight="false" outlineLevel="0" collapsed="false">
      <c r="A11" s="2" t="s">
        <v>19</v>
      </c>
      <c r="B11" s="2" t="n">
        <v>4</v>
      </c>
      <c r="C11" s="2" t="s">
        <v>14</v>
      </c>
      <c r="D11" s="3" t="n">
        <v>40969</v>
      </c>
      <c r="E11" s="3" t="n">
        <v>43661</v>
      </c>
      <c r="F11" s="3" t="n">
        <v>27859</v>
      </c>
      <c r="G11" s="3" t="n">
        <v>28836</v>
      </c>
      <c r="H11" s="4" t="n">
        <f aca="false">D11-F11</f>
        <v>13110</v>
      </c>
      <c r="I11" s="4" t="n">
        <f aca="false">E11-G11</f>
        <v>14825</v>
      </c>
      <c r="J11" s="4" t="n">
        <f aca="false">E11-D11</f>
        <v>2692</v>
      </c>
      <c r="K11" s="5" t="n">
        <f aca="false">IFERROR(J11/D11,0)</f>
        <v>0.065708218409041</v>
      </c>
      <c r="L11" s="4" t="n">
        <f aca="false">I11-H11</f>
        <v>1715</v>
      </c>
      <c r="M11" s="5" t="n">
        <f aca="false">IFERROR(L11/H11,0)</f>
        <v>0.130816170861937</v>
      </c>
    </row>
    <row r="12" customFormat="false" ht="15" hidden="false" customHeight="false" outlineLevel="0" collapsed="false">
      <c r="A12" s="2" t="s">
        <v>19</v>
      </c>
      <c r="B12" s="2" t="n">
        <v>4</v>
      </c>
      <c r="C12" s="2" t="s">
        <v>15</v>
      </c>
      <c r="D12" s="3" t="n">
        <v>31865</v>
      </c>
      <c r="E12" s="3" t="n">
        <v>33938</v>
      </c>
      <c r="F12" s="3" t="n">
        <v>21668</v>
      </c>
      <c r="G12" s="3" t="n">
        <v>24058</v>
      </c>
      <c r="H12" s="4" t="n">
        <f aca="false">D12-F12</f>
        <v>10197</v>
      </c>
      <c r="I12" s="4" t="n">
        <f aca="false">E12-G12</f>
        <v>9880</v>
      </c>
      <c r="J12" s="4" t="n">
        <f aca="false">E12-D12</f>
        <v>2073</v>
      </c>
      <c r="K12" s="5" t="n">
        <f aca="false">IFERROR(J12/D12,0)</f>
        <v>0.0650557037501961</v>
      </c>
      <c r="L12" s="4" t="n">
        <f aca="false">I12-H12</f>
        <v>-317</v>
      </c>
      <c r="M12" s="5" t="n">
        <f aca="false">IFERROR(L12/H12,0)</f>
        <v>-0.0310875747768952</v>
      </c>
    </row>
    <row r="13" customFormat="false" ht="15" hidden="false" customHeight="false" outlineLevel="0" collapsed="false">
      <c r="A13" s="2" t="s">
        <v>19</v>
      </c>
      <c r="B13" s="2" t="n">
        <v>4</v>
      </c>
      <c r="C13" s="2" t="s">
        <v>16</v>
      </c>
      <c r="D13" s="3" t="n">
        <v>18208</v>
      </c>
      <c r="E13" s="3" t="n">
        <v>17867</v>
      </c>
      <c r="F13" s="3" t="n">
        <v>12381</v>
      </c>
      <c r="G13" s="3" t="n">
        <v>11987</v>
      </c>
      <c r="H13" s="4" t="n">
        <f aca="false">D13-F13</f>
        <v>5827</v>
      </c>
      <c r="I13" s="4" t="n">
        <f aca="false">E13-G13</f>
        <v>5880</v>
      </c>
      <c r="J13" s="4" t="n">
        <f aca="false">E13-D13</f>
        <v>-341</v>
      </c>
      <c r="K13" s="5" t="n">
        <f aca="false">IFERROR(J13/D13,0)</f>
        <v>-0.0187280316344464</v>
      </c>
      <c r="L13" s="4" t="n">
        <f aca="false">I13-H13</f>
        <v>53</v>
      </c>
      <c r="M13" s="5" t="n">
        <f aca="false">IFERROR(L13/H13,0)</f>
        <v>0.00909558949716836</v>
      </c>
    </row>
    <row r="14" customFormat="false" ht="15" hidden="false" customHeight="false" outlineLevel="0" collapsed="false">
      <c r="A14" s="2" t="s">
        <v>20</v>
      </c>
      <c r="B14" s="2" t="n">
        <v>5</v>
      </c>
      <c r="C14" s="2" t="s">
        <v>14</v>
      </c>
      <c r="D14" s="3" t="n">
        <v>42750</v>
      </c>
      <c r="E14" s="3" t="n">
        <v>46696</v>
      </c>
      <c r="F14" s="3" t="n">
        <v>29070</v>
      </c>
      <c r="G14" s="3" t="n">
        <v>31920</v>
      </c>
      <c r="H14" s="4" t="n">
        <f aca="false">D14-F14</f>
        <v>13680</v>
      </c>
      <c r="I14" s="4" t="n">
        <f aca="false">E14-G14</f>
        <v>14776</v>
      </c>
      <c r="J14" s="4" t="n">
        <f aca="false">E14-D14</f>
        <v>3946</v>
      </c>
      <c r="K14" s="5" t="n">
        <f aca="false">IFERROR(J14/D14,0)</f>
        <v>0.0923040935672515</v>
      </c>
      <c r="L14" s="4" t="n">
        <f aca="false">I14-H14</f>
        <v>1096</v>
      </c>
      <c r="M14" s="5" t="n">
        <f aca="false">IFERROR(L14/H14,0)</f>
        <v>0.0801169590643275</v>
      </c>
    </row>
    <row r="15" customFormat="false" ht="15" hidden="false" customHeight="false" outlineLevel="0" collapsed="false">
      <c r="A15" s="2" t="s">
        <v>20</v>
      </c>
      <c r="B15" s="2" t="n">
        <v>5</v>
      </c>
      <c r="C15" s="2" t="s">
        <v>15</v>
      </c>
      <c r="D15" s="3" t="n">
        <v>33250</v>
      </c>
      <c r="E15" s="3" t="n">
        <v>31145</v>
      </c>
      <c r="F15" s="3" t="n">
        <v>22610</v>
      </c>
      <c r="G15" s="3" t="n">
        <v>20767</v>
      </c>
      <c r="H15" s="4" t="n">
        <f aca="false">D15-F15</f>
        <v>10640</v>
      </c>
      <c r="I15" s="4" t="n">
        <f aca="false">E15-G15</f>
        <v>10378</v>
      </c>
      <c r="J15" s="4" t="n">
        <f aca="false">E15-D15</f>
        <v>-2105</v>
      </c>
      <c r="K15" s="5" t="n">
        <f aca="false">IFERROR(J15/D15,0)</f>
        <v>-0.0633082706766917</v>
      </c>
      <c r="L15" s="4" t="n">
        <f aca="false">I15-H15</f>
        <v>-262</v>
      </c>
      <c r="M15" s="5" t="n">
        <f aca="false">IFERROR(L15/H15,0)</f>
        <v>-0.0246240601503759</v>
      </c>
    </row>
    <row r="16" customFormat="false" ht="15" hidden="false" customHeight="false" outlineLevel="0" collapsed="false">
      <c r="A16" s="2" t="s">
        <v>20</v>
      </c>
      <c r="B16" s="2" t="n">
        <v>5</v>
      </c>
      <c r="C16" s="2" t="s">
        <v>16</v>
      </c>
      <c r="D16" s="3" t="n">
        <v>19000</v>
      </c>
      <c r="E16" s="3" t="n">
        <v>20378</v>
      </c>
      <c r="F16" s="3" t="n">
        <v>12920</v>
      </c>
      <c r="G16" s="3" t="n">
        <v>14311</v>
      </c>
      <c r="H16" s="4" t="n">
        <f aca="false">D16-F16</f>
        <v>6080</v>
      </c>
      <c r="I16" s="4" t="n">
        <f aca="false">E16-G16</f>
        <v>6067</v>
      </c>
      <c r="J16" s="4" t="n">
        <f aca="false">E16-D16</f>
        <v>1378</v>
      </c>
      <c r="K16" s="5" t="n">
        <f aca="false">IFERROR(J16/D16,0)</f>
        <v>0.0725263157894737</v>
      </c>
      <c r="L16" s="4" t="n">
        <f aca="false">I16-H16</f>
        <v>-13</v>
      </c>
      <c r="M16" s="5" t="n">
        <f aca="false">IFERROR(L16/H16,0)</f>
        <v>-0.00213815789473684</v>
      </c>
    </row>
    <row r="17" customFormat="false" ht="15" hidden="false" customHeight="false" outlineLevel="0" collapsed="false">
      <c r="A17" s="2" t="s">
        <v>21</v>
      </c>
      <c r="B17" s="2" t="n">
        <v>6</v>
      </c>
      <c r="C17" s="2" t="s">
        <v>14</v>
      </c>
      <c r="D17" s="3" t="n">
        <v>40969</v>
      </c>
      <c r="E17" s="3" t="n">
        <v>43644</v>
      </c>
      <c r="F17" s="3" t="n">
        <v>27859</v>
      </c>
      <c r="G17" s="3" t="n">
        <v>31034</v>
      </c>
      <c r="H17" s="4" t="n">
        <f aca="false">D17-F17</f>
        <v>13110</v>
      </c>
      <c r="I17" s="4" t="n">
        <f aca="false">E17-G17</f>
        <v>12610</v>
      </c>
      <c r="J17" s="4" t="n">
        <f aca="false">E17-D17</f>
        <v>2675</v>
      </c>
      <c r="K17" s="5" t="n">
        <f aca="false">IFERROR(J17/D17,0)</f>
        <v>0.0652932705216139</v>
      </c>
      <c r="L17" s="4" t="n">
        <f aca="false">I17-H17</f>
        <v>-500</v>
      </c>
      <c r="M17" s="5" t="n">
        <f aca="false">IFERROR(L17/H17,0)</f>
        <v>-0.03813882532418</v>
      </c>
    </row>
    <row r="18" customFormat="false" ht="15" hidden="false" customHeight="false" outlineLevel="0" collapsed="false">
      <c r="A18" s="2" t="s">
        <v>21</v>
      </c>
      <c r="B18" s="2" t="n">
        <v>6</v>
      </c>
      <c r="C18" s="2" t="s">
        <v>15</v>
      </c>
      <c r="D18" s="3" t="n">
        <v>31865</v>
      </c>
      <c r="E18" s="3" t="n">
        <v>32391</v>
      </c>
      <c r="F18" s="3" t="n">
        <v>21668</v>
      </c>
      <c r="G18" s="3" t="n">
        <v>23584</v>
      </c>
      <c r="H18" s="4" t="n">
        <f aca="false">D18-F18</f>
        <v>10197</v>
      </c>
      <c r="I18" s="4" t="n">
        <f aca="false">E18-G18</f>
        <v>8807</v>
      </c>
      <c r="J18" s="4" t="n">
        <f aca="false">E18-D18</f>
        <v>526</v>
      </c>
      <c r="K18" s="5" t="n">
        <f aca="false">IFERROR(J18/D18,0)</f>
        <v>0.0165071394947434</v>
      </c>
      <c r="L18" s="4" t="n">
        <f aca="false">I18-H18</f>
        <v>-1390</v>
      </c>
      <c r="M18" s="5" t="n">
        <f aca="false">IFERROR(L18/H18,0)</f>
        <v>-0.13631460233402</v>
      </c>
    </row>
    <row r="19" customFormat="false" ht="15" hidden="false" customHeight="false" outlineLevel="0" collapsed="false">
      <c r="A19" s="2" t="s">
        <v>21</v>
      </c>
      <c r="B19" s="2" t="n">
        <v>6</v>
      </c>
      <c r="C19" s="2" t="s">
        <v>16</v>
      </c>
      <c r="D19" s="3" t="n">
        <v>18208</v>
      </c>
      <c r="E19" s="3" t="n">
        <v>17992</v>
      </c>
      <c r="F19" s="3" t="n">
        <v>12381</v>
      </c>
      <c r="G19" s="3" t="n">
        <v>12570</v>
      </c>
      <c r="H19" s="4" t="n">
        <f aca="false">D19-F19</f>
        <v>5827</v>
      </c>
      <c r="I19" s="4" t="n">
        <f aca="false">E19-G19</f>
        <v>5422</v>
      </c>
      <c r="J19" s="4" t="n">
        <f aca="false">E19-D19</f>
        <v>-216</v>
      </c>
      <c r="K19" s="5" t="n">
        <f aca="false">IFERROR(J19/D19,0)</f>
        <v>-0.0118629173989455</v>
      </c>
      <c r="L19" s="4" t="n">
        <f aca="false">I19-H19</f>
        <v>-405</v>
      </c>
      <c r="M19" s="5" t="n">
        <f aca="false">IFERROR(L19/H19,0)</f>
        <v>-0.0695040329500601</v>
      </c>
    </row>
    <row r="20" customFormat="false" ht="15" hidden="false" customHeight="false" outlineLevel="0" collapsed="false">
      <c r="A20" s="2" t="s">
        <v>22</v>
      </c>
      <c r="B20" s="2" t="n">
        <v>7</v>
      </c>
      <c r="C20" s="2" t="s">
        <v>14</v>
      </c>
      <c r="D20" s="3" t="n">
        <v>35625</v>
      </c>
      <c r="E20" s="3" t="n">
        <v>38094</v>
      </c>
      <c r="F20" s="3" t="n">
        <v>24225</v>
      </c>
      <c r="G20" s="3" t="n">
        <v>26791</v>
      </c>
      <c r="H20" s="4" t="n">
        <f aca="false">D20-F20</f>
        <v>11400</v>
      </c>
      <c r="I20" s="4" t="n">
        <f aca="false">E20-G20</f>
        <v>11303</v>
      </c>
      <c r="J20" s="4" t="n">
        <f aca="false">E20-D20</f>
        <v>2469</v>
      </c>
      <c r="K20" s="5" t="n">
        <f aca="false">IFERROR(J20/D20,0)</f>
        <v>0.0693052631578947</v>
      </c>
      <c r="L20" s="4" t="n">
        <f aca="false">I20-H20</f>
        <v>-97</v>
      </c>
      <c r="M20" s="5" t="n">
        <f aca="false">IFERROR(L20/H20,0)</f>
        <v>-0.00850877192982456</v>
      </c>
    </row>
    <row r="21" customFormat="false" ht="15" hidden="false" customHeight="false" outlineLevel="0" collapsed="false">
      <c r="A21" s="2" t="s">
        <v>22</v>
      </c>
      <c r="B21" s="2" t="n">
        <v>7</v>
      </c>
      <c r="C21" s="2" t="s">
        <v>15</v>
      </c>
      <c r="D21" s="3" t="n">
        <v>27708</v>
      </c>
      <c r="E21" s="3" t="n">
        <v>29789</v>
      </c>
      <c r="F21" s="3" t="n">
        <v>18841</v>
      </c>
      <c r="G21" s="3" t="n">
        <v>20865</v>
      </c>
      <c r="H21" s="4" t="n">
        <f aca="false">D21-F21</f>
        <v>8867</v>
      </c>
      <c r="I21" s="4" t="n">
        <f aca="false">E21-G21</f>
        <v>8924</v>
      </c>
      <c r="J21" s="4" t="n">
        <f aca="false">E21-D21</f>
        <v>2081</v>
      </c>
      <c r="K21" s="5" t="n">
        <f aca="false">IFERROR(J21/D21,0)</f>
        <v>0.0751046629132381</v>
      </c>
      <c r="L21" s="4" t="n">
        <f aca="false">I21-H21</f>
        <v>57</v>
      </c>
      <c r="M21" s="5" t="n">
        <f aca="false">IFERROR(L21/H21,0)</f>
        <v>0.00642832976203902</v>
      </c>
    </row>
    <row r="22" customFormat="false" ht="15" hidden="false" customHeight="false" outlineLevel="0" collapsed="false">
      <c r="A22" s="2" t="s">
        <v>22</v>
      </c>
      <c r="B22" s="2" t="n">
        <v>7</v>
      </c>
      <c r="C22" s="2" t="s">
        <v>16</v>
      </c>
      <c r="D22" s="3" t="n">
        <v>15833</v>
      </c>
      <c r="E22" s="3" t="n">
        <v>16574</v>
      </c>
      <c r="F22" s="3" t="n">
        <v>10766</v>
      </c>
      <c r="G22" s="3" t="n">
        <v>10992</v>
      </c>
      <c r="H22" s="4" t="n">
        <f aca="false">D22-F22</f>
        <v>5067</v>
      </c>
      <c r="I22" s="4" t="n">
        <f aca="false">E22-G22</f>
        <v>5582</v>
      </c>
      <c r="J22" s="4" t="n">
        <f aca="false">E22-D22</f>
        <v>741</v>
      </c>
      <c r="K22" s="5" t="n">
        <f aca="false">IFERROR(J22/D22,0)</f>
        <v>0.0468009852839007</v>
      </c>
      <c r="L22" s="4" t="n">
        <f aca="false">I22-H22</f>
        <v>515</v>
      </c>
      <c r="M22" s="5" t="n">
        <f aca="false">IFERROR(L22/H22,0)</f>
        <v>0.101638050128281</v>
      </c>
    </row>
    <row r="23" customFormat="false" ht="15" hidden="false" customHeight="false" outlineLevel="0" collapsed="false">
      <c r="A23" s="2" t="s">
        <v>23</v>
      </c>
      <c r="B23" s="2" t="n">
        <v>8</v>
      </c>
      <c r="C23" s="2" t="s">
        <v>14</v>
      </c>
      <c r="D23" s="3" t="n">
        <v>33844</v>
      </c>
      <c r="E23" s="3" t="n">
        <v>32525</v>
      </c>
      <c r="F23" s="3" t="n">
        <v>23014</v>
      </c>
      <c r="G23" s="3" t="n">
        <v>22125</v>
      </c>
      <c r="H23" s="4" t="n">
        <f aca="false">D23-F23</f>
        <v>10830</v>
      </c>
      <c r="I23" s="4" t="n">
        <f aca="false">E23-G23</f>
        <v>10400</v>
      </c>
      <c r="J23" s="4" t="n">
        <f aca="false">E23-D23</f>
        <v>-1319</v>
      </c>
      <c r="K23" s="5" t="n">
        <f aca="false">IFERROR(J23/D23,0)</f>
        <v>-0.0389729346412954</v>
      </c>
      <c r="L23" s="4" t="n">
        <f aca="false">I23-H23</f>
        <v>-430</v>
      </c>
      <c r="M23" s="5" t="n">
        <f aca="false">IFERROR(L23/H23,0)</f>
        <v>-0.0397045244690674</v>
      </c>
    </row>
    <row r="24" customFormat="false" ht="15" hidden="false" customHeight="false" outlineLevel="0" collapsed="false">
      <c r="A24" s="2" t="s">
        <v>23</v>
      </c>
      <c r="B24" s="2" t="n">
        <v>8</v>
      </c>
      <c r="C24" s="2" t="s">
        <v>15</v>
      </c>
      <c r="D24" s="3" t="n">
        <v>26323</v>
      </c>
      <c r="E24" s="3" t="n">
        <v>24595</v>
      </c>
      <c r="F24" s="3" t="n">
        <v>17900</v>
      </c>
      <c r="G24" s="3" t="n">
        <v>16633</v>
      </c>
      <c r="H24" s="4" t="n">
        <f aca="false">D24-F24</f>
        <v>8423</v>
      </c>
      <c r="I24" s="4" t="n">
        <f aca="false">E24-G24</f>
        <v>7962</v>
      </c>
      <c r="J24" s="4" t="n">
        <f aca="false">E24-D24</f>
        <v>-1728</v>
      </c>
      <c r="K24" s="5" t="n">
        <f aca="false">IFERROR(J24/D24,0)</f>
        <v>-0.0656460129924401</v>
      </c>
      <c r="L24" s="4" t="n">
        <f aca="false">I24-H24</f>
        <v>-461</v>
      </c>
      <c r="M24" s="5" t="n">
        <f aca="false">IFERROR(L24/H24,0)</f>
        <v>-0.0547310934346432</v>
      </c>
    </row>
    <row r="25" customFormat="false" ht="15" hidden="false" customHeight="false" outlineLevel="0" collapsed="false">
      <c r="A25" s="2" t="s">
        <v>23</v>
      </c>
      <c r="B25" s="2" t="n">
        <v>8</v>
      </c>
      <c r="C25" s="2" t="s">
        <v>16</v>
      </c>
      <c r="D25" s="3" t="n">
        <v>15042</v>
      </c>
      <c r="E25" s="3" t="n">
        <v>14112</v>
      </c>
      <c r="F25" s="3" t="n">
        <v>10229</v>
      </c>
      <c r="G25" s="3" t="n">
        <v>9589</v>
      </c>
      <c r="H25" s="4" t="n">
        <f aca="false">D25-F25</f>
        <v>4813</v>
      </c>
      <c r="I25" s="4" t="n">
        <f aca="false">E25-G25</f>
        <v>4523</v>
      </c>
      <c r="J25" s="4" t="n">
        <f aca="false">E25-D25</f>
        <v>-930</v>
      </c>
      <c r="K25" s="5" t="n">
        <f aca="false">IFERROR(J25/D25,0)</f>
        <v>-0.0618268847227762</v>
      </c>
      <c r="L25" s="4" t="n">
        <f aca="false">I25-H25</f>
        <v>-290</v>
      </c>
      <c r="M25" s="5" t="n">
        <f aca="false">IFERROR(L25/H25,0)</f>
        <v>-0.0602534801579057</v>
      </c>
    </row>
    <row r="26" customFormat="false" ht="15" hidden="false" customHeight="false" outlineLevel="0" collapsed="false">
      <c r="A26" s="2" t="s">
        <v>24</v>
      </c>
      <c r="B26" s="2" t="n">
        <v>9</v>
      </c>
      <c r="C26" s="2" t="s">
        <v>14</v>
      </c>
      <c r="D26" s="3" t="n">
        <v>35625</v>
      </c>
      <c r="E26" s="3" t="n">
        <v>36851</v>
      </c>
      <c r="F26" s="3" t="n">
        <v>24225</v>
      </c>
      <c r="G26" s="3" t="n">
        <v>25263</v>
      </c>
      <c r="H26" s="4" t="n">
        <f aca="false">D26-F26</f>
        <v>11400</v>
      </c>
      <c r="I26" s="4" t="n">
        <f aca="false">E26-G26</f>
        <v>11588</v>
      </c>
      <c r="J26" s="4" t="n">
        <f aca="false">E26-D26</f>
        <v>1226</v>
      </c>
      <c r="K26" s="5" t="n">
        <f aca="false">IFERROR(J26/D26,0)</f>
        <v>0.0344140350877193</v>
      </c>
      <c r="L26" s="4" t="n">
        <f aca="false">I26-H26</f>
        <v>188</v>
      </c>
      <c r="M26" s="5" t="n">
        <f aca="false">IFERROR(L26/H26,0)</f>
        <v>0.0164912280701754</v>
      </c>
    </row>
    <row r="27" customFormat="false" ht="15" hidden="false" customHeight="false" outlineLevel="0" collapsed="false">
      <c r="A27" s="2" t="s">
        <v>24</v>
      </c>
      <c r="B27" s="2" t="n">
        <v>9</v>
      </c>
      <c r="C27" s="2" t="s">
        <v>15</v>
      </c>
      <c r="D27" s="3" t="n">
        <v>27708</v>
      </c>
      <c r="E27" s="3" t="n">
        <v>27338</v>
      </c>
      <c r="F27" s="3" t="n">
        <v>18841</v>
      </c>
      <c r="G27" s="3" t="n">
        <v>18444</v>
      </c>
      <c r="H27" s="4" t="n">
        <f aca="false">D27-F27</f>
        <v>8867</v>
      </c>
      <c r="I27" s="4" t="n">
        <f aca="false">E27-G27</f>
        <v>8894</v>
      </c>
      <c r="J27" s="4" t="n">
        <f aca="false">E27-D27</f>
        <v>-370</v>
      </c>
      <c r="K27" s="5" t="n">
        <f aca="false">IFERROR(J27/D27,0)</f>
        <v>-0.0133535441027862</v>
      </c>
      <c r="L27" s="4" t="n">
        <f aca="false">I27-H27</f>
        <v>27</v>
      </c>
      <c r="M27" s="5" t="n">
        <f aca="false">IFERROR(L27/H27,0)</f>
        <v>0.00304499830833427</v>
      </c>
    </row>
    <row r="28" customFormat="false" ht="15" hidden="false" customHeight="false" outlineLevel="0" collapsed="false">
      <c r="A28" s="2" t="s">
        <v>24</v>
      </c>
      <c r="B28" s="2" t="n">
        <v>9</v>
      </c>
      <c r="C28" s="2" t="s">
        <v>16</v>
      </c>
      <c r="D28" s="3" t="n">
        <v>15833</v>
      </c>
      <c r="E28" s="3" t="n">
        <v>15327</v>
      </c>
      <c r="F28" s="3" t="n">
        <v>10766</v>
      </c>
      <c r="G28" s="3" t="n">
        <v>11121</v>
      </c>
      <c r="H28" s="4" t="n">
        <f aca="false">D28-F28</f>
        <v>5067</v>
      </c>
      <c r="I28" s="4" t="n">
        <f aca="false">E28-G28</f>
        <v>4206</v>
      </c>
      <c r="J28" s="4" t="n">
        <f aca="false">E28-D28</f>
        <v>-506</v>
      </c>
      <c r="K28" s="5" t="n">
        <f aca="false">IFERROR(J28/D28,0)</f>
        <v>-0.0319585675487905</v>
      </c>
      <c r="L28" s="4" t="n">
        <f aca="false">I28-H28</f>
        <v>-861</v>
      </c>
      <c r="M28" s="5" t="n">
        <f aca="false">IFERROR(L28/H28,0)</f>
        <v>-0.169923031379515</v>
      </c>
    </row>
    <row r="29" customFormat="false" ht="15" hidden="false" customHeight="false" outlineLevel="0" collapsed="false">
      <c r="A29" s="2" t="s">
        <v>25</v>
      </c>
      <c r="B29" s="2" t="n">
        <v>10</v>
      </c>
      <c r="C29" s="2" t="s">
        <v>14</v>
      </c>
      <c r="D29" s="3" t="n">
        <v>33844</v>
      </c>
      <c r="E29" s="3" t="n">
        <v>35084</v>
      </c>
      <c r="F29" s="3" t="n">
        <v>23014</v>
      </c>
      <c r="G29" s="3" t="n">
        <v>24651</v>
      </c>
      <c r="H29" s="4" t="n">
        <f aca="false">D29-F29</f>
        <v>10830</v>
      </c>
      <c r="I29" s="4" t="n">
        <f aca="false">E29-G29</f>
        <v>10433</v>
      </c>
      <c r="J29" s="4" t="n">
        <f aca="false">E29-D29</f>
        <v>1240</v>
      </c>
      <c r="K29" s="5" t="n">
        <f aca="false">IFERROR(J29/D29,0)</f>
        <v>0.0366386951896939</v>
      </c>
      <c r="L29" s="4" t="n">
        <f aca="false">I29-H29</f>
        <v>-397</v>
      </c>
      <c r="M29" s="5" t="n">
        <f aca="false">IFERROR(L29/H29,0)</f>
        <v>-0.036657433056325</v>
      </c>
    </row>
    <row r="30" customFormat="false" ht="15" hidden="false" customHeight="false" outlineLevel="0" collapsed="false">
      <c r="A30" s="2" t="s">
        <v>25</v>
      </c>
      <c r="B30" s="2" t="n">
        <v>10</v>
      </c>
      <c r="C30" s="2" t="s">
        <v>15</v>
      </c>
      <c r="D30" s="3" t="n">
        <v>26323</v>
      </c>
      <c r="E30" s="3" t="n">
        <v>25028</v>
      </c>
      <c r="F30" s="3" t="n">
        <v>17900</v>
      </c>
      <c r="G30" s="3" t="n">
        <v>17796</v>
      </c>
      <c r="H30" s="4" t="n">
        <f aca="false">D30-F30</f>
        <v>8423</v>
      </c>
      <c r="I30" s="4" t="n">
        <f aca="false">E30-G30</f>
        <v>7232</v>
      </c>
      <c r="J30" s="4" t="n">
        <f aca="false">E30-D30</f>
        <v>-1295</v>
      </c>
      <c r="K30" s="5" t="n">
        <f aca="false">IFERROR(J30/D30,0)</f>
        <v>-0.0491965201534779</v>
      </c>
      <c r="L30" s="4" t="n">
        <f aca="false">I30-H30</f>
        <v>-1191</v>
      </c>
      <c r="M30" s="5" t="n">
        <f aca="false">IFERROR(L30/H30,0)</f>
        <v>-0.141398551584946</v>
      </c>
    </row>
    <row r="31" customFormat="false" ht="15" hidden="false" customHeight="false" outlineLevel="0" collapsed="false">
      <c r="A31" s="2" t="s">
        <v>25</v>
      </c>
      <c r="B31" s="2" t="n">
        <v>10</v>
      </c>
      <c r="C31" s="2" t="s">
        <v>16</v>
      </c>
      <c r="D31" s="3" t="n">
        <v>15042</v>
      </c>
      <c r="E31" s="3" t="n">
        <v>14281</v>
      </c>
      <c r="F31" s="3" t="n">
        <v>10229</v>
      </c>
      <c r="G31" s="3" t="n">
        <v>9805</v>
      </c>
      <c r="H31" s="4" t="n">
        <f aca="false">D31-F31</f>
        <v>4813</v>
      </c>
      <c r="I31" s="4" t="n">
        <f aca="false">E31-G31</f>
        <v>4476</v>
      </c>
      <c r="J31" s="4" t="n">
        <f aca="false">E31-D31</f>
        <v>-761</v>
      </c>
      <c r="K31" s="5" t="n">
        <f aca="false">IFERROR(J31/D31,0)</f>
        <v>-0.0505916766387449</v>
      </c>
      <c r="L31" s="4" t="n">
        <f aca="false">I31-H31</f>
        <v>-337</v>
      </c>
      <c r="M31" s="5" t="n">
        <f aca="false">IFERROR(L31/H31,0)</f>
        <v>-0.0700186993559111</v>
      </c>
    </row>
    <row r="32" customFormat="false" ht="15" hidden="false" customHeight="false" outlineLevel="0" collapsed="false">
      <c r="A32" s="2" t="s">
        <v>26</v>
      </c>
      <c r="B32" s="2" t="n">
        <v>11</v>
      </c>
      <c r="C32" s="2" t="s">
        <v>14</v>
      </c>
      <c r="D32" s="3" t="n">
        <v>33844</v>
      </c>
      <c r="E32" s="3" t="n">
        <v>37165</v>
      </c>
      <c r="F32" s="3" t="n">
        <v>23014</v>
      </c>
      <c r="G32" s="3" t="n">
        <v>26194</v>
      </c>
      <c r="H32" s="4" t="n">
        <f aca="false">D32-F32</f>
        <v>10830</v>
      </c>
      <c r="I32" s="4" t="n">
        <f aca="false">E32-G32</f>
        <v>10971</v>
      </c>
      <c r="J32" s="4" t="n">
        <f aca="false">E32-D32</f>
        <v>3321</v>
      </c>
      <c r="K32" s="5" t="n">
        <f aca="false">IFERROR(J32/D32,0)</f>
        <v>0.0981266989717528</v>
      </c>
      <c r="L32" s="4" t="n">
        <f aca="false">I32-H32</f>
        <v>141</v>
      </c>
      <c r="M32" s="5" t="n">
        <f aca="false">IFERROR(L32/H32,0)</f>
        <v>0.0130193905817175</v>
      </c>
    </row>
    <row r="33" customFormat="false" ht="15" hidden="false" customHeight="false" outlineLevel="0" collapsed="false">
      <c r="A33" s="2" t="s">
        <v>26</v>
      </c>
      <c r="B33" s="2" t="n">
        <v>11</v>
      </c>
      <c r="C33" s="2" t="s">
        <v>15</v>
      </c>
      <c r="D33" s="3" t="n">
        <v>26323</v>
      </c>
      <c r="E33" s="3" t="n">
        <v>26856</v>
      </c>
      <c r="F33" s="3" t="n">
        <v>17900</v>
      </c>
      <c r="G33" s="3" t="n">
        <v>19012</v>
      </c>
      <c r="H33" s="4" t="n">
        <f aca="false">D33-F33</f>
        <v>8423</v>
      </c>
      <c r="I33" s="4" t="n">
        <f aca="false">E33-G33</f>
        <v>7844</v>
      </c>
      <c r="J33" s="4" t="n">
        <f aca="false">E33-D33</f>
        <v>533</v>
      </c>
      <c r="K33" s="5" t="n">
        <f aca="false">IFERROR(J33/D33,0)</f>
        <v>0.0202484519241728</v>
      </c>
      <c r="L33" s="4" t="n">
        <f aca="false">I33-H33</f>
        <v>-579</v>
      </c>
      <c r="M33" s="5" t="n">
        <f aca="false">IFERROR(L33/H33,0)</f>
        <v>-0.0687403537931853</v>
      </c>
    </row>
    <row r="34" customFormat="false" ht="15" hidden="false" customHeight="false" outlineLevel="0" collapsed="false">
      <c r="A34" s="2" t="s">
        <v>26</v>
      </c>
      <c r="B34" s="2" t="n">
        <v>11</v>
      </c>
      <c r="C34" s="2" t="s">
        <v>16</v>
      </c>
      <c r="D34" s="3" t="n">
        <v>15042</v>
      </c>
      <c r="E34" s="3" t="n">
        <v>16121</v>
      </c>
      <c r="F34" s="3" t="n">
        <v>10229</v>
      </c>
      <c r="G34" s="3" t="n">
        <v>11516</v>
      </c>
      <c r="H34" s="4" t="n">
        <f aca="false">D34-F34</f>
        <v>4813</v>
      </c>
      <c r="I34" s="4" t="n">
        <f aca="false">E34-G34</f>
        <v>4605</v>
      </c>
      <c r="J34" s="4" t="n">
        <f aca="false">E34-D34</f>
        <v>1079</v>
      </c>
      <c r="K34" s="5" t="n">
        <f aca="false">IFERROR(J34/D34,0)</f>
        <v>0.0717324823826619</v>
      </c>
      <c r="L34" s="4" t="n">
        <f aca="false">I34-H34</f>
        <v>-208</v>
      </c>
      <c r="M34" s="5" t="n">
        <f aca="false">IFERROR(L34/H34,0)</f>
        <v>-0.0432162892167048</v>
      </c>
    </row>
    <row r="35" customFormat="false" ht="15" hidden="false" customHeight="false" outlineLevel="0" collapsed="false">
      <c r="A35" s="2" t="s">
        <v>27</v>
      </c>
      <c r="B35" s="2" t="n">
        <v>12</v>
      </c>
      <c r="C35" s="2" t="s">
        <v>14</v>
      </c>
      <c r="D35" s="3" t="n">
        <v>33844</v>
      </c>
      <c r="E35" s="3" t="n">
        <v>32532</v>
      </c>
      <c r="F35" s="3" t="n">
        <v>23014</v>
      </c>
      <c r="G35" s="3" t="n">
        <v>21544</v>
      </c>
      <c r="H35" s="4" t="n">
        <f aca="false">D35-F35</f>
        <v>10830</v>
      </c>
      <c r="I35" s="4" t="n">
        <f aca="false">E35-G35</f>
        <v>10988</v>
      </c>
      <c r="J35" s="4" t="n">
        <f aca="false">E35-D35</f>
        <v>-1312</v>
      </c>
      <c r="K35" s="5" t="n">
        <f aca="false">IFERROR(J35/D35,0)</f>
        <v>-0.0387661032974826</v>
      </c>
      <c r="L35" s="4" t="n">
        <f aca="false">I35-H35</f>
        <v>158</v>
      </c>
      <c r="M35" s="5" t="n">
        <f aca="false">IFERROR(L35/H35,0)</f>
        <v>0.0145891043397969</v>
      </c>
    </row>
    <row r="36" customFormat="false" ht="15" hidden="false" customHeight="false" outlineLevel="0" collapsed="false">
      <c r="A36" s="2" t="s">
        <v>27</v>
      </c>
      <c r="B36" s="2" t="n">
        <v>12</v>
      </c>
      <c r="C36" s="2" t="s">
        <v>15</v>
      </c>
      <c r="D36" s="3" t="n">
        <v>26323</v>
      </c>
      <c r="E36" s="3" t="n">
        <v>25712</v>
      </c>
      <c r="F36" s="3" t="n">
        <v>17900</v>
      </c>
      <c r="G36" s="3" t="n">
        <v>17452</v>
      </c>
      <c r="H36" s="4" t="n">
        <f aca="false">D36-F36</f>
        <v>8423</v>
      </c>
      <c r="I36" s="4" t="n">
        <f aca="false">E36-G36</f>
        <v>8260</v>
      </c>
      <c r="J36" s="4" t="n">
        <f aca="false">E36-D36</f>
        <v>-611</v>
      </c>
      <c r="K36" s="5" t="n">
        <f aca="false">IFERROR(J36/D36,0)</f>
        <v>-0.0232116400106371</v>
      </c>
      <c r="L36" s="4" t="n">
        <f aca="false">I36-H36</f>
        <v>-163</v>
      </c>
      <c r="M36" s="5" t="n">
        <f aca="false">IFERROR(L36/H36,0)</f>
        <v>-0.0193517749020539</v>
      </c>
    </row>
    <row r="37" customFormat="false" ht="15" hidden="false" customHeight="false" outlineLevel="0" collapsed="false">
      <c r="A37" s="2" t="s">
        <v>27</v>
      </c>
      <c r="B37" s="2" t="n">
        <v>12</v>
      </c>
      <c r="C37" s="2" t="s">
        <v>16</v>
      </c>
      <c r="D37" s="3" t="n">
        <v>15042</v>
      </c>
      <c r="E37" s="3" t="n">
        <v>14410</v>
      </c>
      <c r="F37" s="3" t="n">
        <v>10229</v>
      </c>
      <c r="G37" s="3" t="n">
        <v>10462</v>
      </c>
      <c r="H37" s="4" t="n">
        <f aca="false">D37-F37</f>
        <v>4813</v>
      </c>
      <c r="I37" s="4" t="n">
        <f aca="false">E37-G37</f>
        <v>3948</v>
      </c>
      <c r="J37" s="4" t="n">
        <f aca="false">E37-D37</f>
        <v>-632</v>
      </c>
      <c r="K37" s="5" t="n">
        <f aca="false">IFERROR(J37/D37,0)</f>
        <v>-0.0420156894030049</v>
      </c>
      <c r="L37" s="4" t="n">
        <f aca="false">I37-H37</f>
        <v>-865</v>
      </c>
      <c r="M37" s="5" t="n">
        <f aca="false">IFERROR(L37/H37,0)</f>
        <v>-0.179721587367546</v>
      </c>
    </row>
    <row r="39" customFormat="false" ht="15" hidden="false" customHeight="false" outlineLevel="0" collapsed="false">
      <c r="A39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</cols>
  <sheetData>
    <row r="1" customFormat="false" ht="19.7" hidden="false" customHeight="false" outlineLevel="0" collapsed="false">
      <c r="A1" s="7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15" hidden="false" customHeight="false" outlineLevel="0" collapsed="false">
      <c r="A2" s="8" t="s">
        <v>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customFormat="false" ht="15" hidden="false" customHeight="true" outlineLevel="0" collapsed="false">
      <c r="A4" s="9" t="s">
        <v>31</v>
      </c>
      <c r="B4" s="9"/>
      <c r="D4" s="9" t="s">
        <v>32</v>
      </c>
      <c r="E4" s="9"/>
      <c r="G4" s="9" t="s">
        <v>33</v>
      </c>
      <c r="H4" s="9"/>
      <c r="J4" s="9" t="s">
        <v>34</v>
      </c>
      <c r="K4" s="9"/>
      <c r="M4" s="9" t="s">
        <v>35</v>
      </c>
      <c r="N4" s="9"/>
    </row>
    <row r="5" customFormat="false" ht="22.05" hidden="false" customHeight="false" outlineLevel="0" collapsed="false">
      <c r="A5" s="10" t="n">
        <f aca="false">SUM(Data_BudgetActual!E2:E37)</f>
        <v>964588</v>
      </c>
      <c r="B5" s="10"/>
      <c r="D5" s="10" t="n">
        <f aca="false">SUM(Data_BudgetActual!D2:D37)</f>
        <v>950002</v>
      </c>
      <c r="E5" s="10"/>
      <c r="G5" s="11" t="n">
        <f aca="false">(A5-D5)/D5</f>
        <v>0.0153536518870487</v>
      </c>
      <c r="H5" s="11"/>
      <c r="J5" s="11" t="n">
        <f aca="false">SUM(Data_BudgetActual!I2:I37)/SUM(Data_BudgetActual!E2:E37)</f>
        <v>0.3107886475884</v>
      </c>
      <c r="K5" s="11"/>
      <c r="M5" s="11" t="n">
        <f aca="false">SUM(Data_BudgetActual!H2:H37)/SUM(Data_BudgetActual!D2:D37)</f>
        <v>0.319999326317208</v>
      </c>
      <c r="N5" s="11"/>
    </row>
    <row r="8" customFormat="false" ht="15" hidden="false" customHeight="false" outlineLevel="0" collapsed="false">
      <c r="A8" s="12" t="s">
        <v>36</v>
      </c>
    </row>
    <row r="9" customFormat="false" ht="23.85" hidden="false" customHeight="false" outlineLevel="0" collapsed="false">
      <c r="A9" s="1" t="s">
        <v>0</v>
      </c>
      <c r="B9" s="1" t="s">
        <v>1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1" t="s">
        <v>43</v>
      </c>
      <c r="J9" s="1" t="s">
        <v>44</v>
      </c>
      <c r="K9" s="1" t="s">
        <v>45</v>
      </c>
    </row>
    <row r="10" customFormat="false" ht="15" hidden="false" customHeight="false" outlineLevel="0" collapsed="false">
      <c r="A10" s="13" t="s">
        <v>13</v>
      </c>
      <c r="B10" s="13" t="n">
        <v>1</v>
      </c>
      <c r="C10" s="4" t="n">
        <f aca="false">SUMIFS(Data_BudgetActual!$D$2:$D$37,Data_BudgetActual!$A$2:$A$37,A10)</f>
        <v>71250</v>
      </c>
      <c r="D10" s="4" t="n">
        <f aca="false">SUMIFS(Data_BudgetActual!$E$2:$E$37,Data_BudgetActual!$A$2:$A$37,A10)</f>
        <v>72364</v>
      </c>
      <c r="E10" s="4" t="n">
        <f aca="false">D10-C10</f>
        <v>1114</v>
      </c>
      <c r="F10" s="5" t="n">
        <f aca="false">IFERROR(E10/C10,0)</f>
        <v>0.0156350877192982</v>
      </c>
      <c r="G10" s="4" t="n">
        <f aca="false">SUMIFS(Data_BudgetActual!$H$2:$H$37,Data_BudgetActual!$A$2:$A$37,A10)</f>
        <v>22800</v>
      </c>
      <c r="H10" s="4" t="n">
        <f aca="false">SUMIFS(Data_BudgetActual!$I$2:$I$37,Data_BudgetActual!$A$2:$A$37,A10)</f>
        <v>23457</v>
      </c>
      <c r="I10" s="4" t="n">
        <f aca="false">H10-G10</f>
        <v>657</v>
      </c>
      <c r="J10" s="5" t="n">
        <f aca="false">IFERROR(H10/D10,0)</f>
        <v>0.324152893704052</v>
      </c>
      <c r="K10" s="5" t="n">
        <f aca="false">IFERROR(G10/C10,0)</f>
        <v>0.32</v>
      </c>
    </row>
    <row r="11" customFormat="false" ht="15" hidden="false" customHeight="false" outlineLevel="0" collapsed="false">
      <c r="A11" s="13" t="s">
        <v>17</v>
      </c>
      <c r="B11" s="13" t="n">
        <v>2</v>
      </c>
      <c r="C11" s="4" t="n">
        <f aca="false">SUMIFS(Data_BudgetActual!$D$2:$D$37,Data_BudgetActual!$A$2:$A$37,A11)</f>
        <v>67291</v>
      </c>
      <c r="D11" s="4" t="n">
        <f aca="false">SUMIFS(Data_BudgetActual!$E$2:$E$37,Data_BudgetActual!$A$2:$A$37,A11)</f>
        <v>69089</v>
      </c>
      <c r="E11" s="4" t="n">
        <f aca="false">D11-C11</f>
        <v>1798</v>
      </c>
      <c r="F11" s="5" t="n">
        <f aca="false">IFERROR(E11/C11,0)</f>
        <v>0.0267197693599441</v>
      </c>
      <c r="G11" s="4" t="n">
        <f aca="false">SUMIFS(Data_BudgetActual!$H$2:$H$37,Data_BudgetActual!$A$2:$A$37,A11)</f>
        <v>21534</v>
      </c>
      <c r="H11" s="4" t="n">
        <f aca="false">SUMIFS(Data_BudgetActual!$I$2:$I$37,Data_BudgetActual!$A$2:$A$37,A11)</f>
        <v>22785</v>
      </c>
      <c r="I11" s="4" t="n">
        <f aca="false">H11-G11</f>
        <v>1251</v>
      </c>
      <c r="J11" s="5" t="n">
        <f aca="false">IFERROR(H11/D11,0)</f>
        <v>0.329792007410731</v>
      </c>
      <c r="K11" s="5" t="n">
        <f aca="false">IFERROR(G11/C11,0)</f>
        <v>0.320013077528942</v>
      </c>
    </row>
    <row r="12" customFormat="false" ht="15" hidden="false" customHeight="false" outlineLevel="0" collapsed="false">
      <c r="A12" s="13" t="s">
        <v>18</v>
      </c>
      <c r="B12" s="13" t="n">
        <v>3</v>
      </c>
      <c r="C12" s="4" t="n">
        <f aca="false">SUMIFS(Data_BudgetActual!$D$2:$D$37,Data_BudgetActual!$A$2:$A$37,A12)</f>
        <v>75209</v>
      </c>
      <c r="D12" s="4" t="n">
        <f aca="false">SUMIFS(Data_BudgetActual!$E$2:$E$37,Data_BudgetActual!$A$2:$A$37,A12)</f>
        <v>73029</v>
      </c>
      <c r="E12" s="4" t="n">
        <f aca="false">D12-C12</f>
        <v>-2180</v>
      </c>
      <c r="F12" s="5" t="n">
        <f aca="false">IFERROR(E12/C12,0)</f>
        <v>-0.028985892645827</v>
      </c>
      <c r="G12" s="4" t="n">
        <f aca="false">SUMIFS(Data_BudgetActual!$H$2:$H$37,Data_BudgetActual!$A$2:$A$37,A12)</f>
        <v>24066</v>
      </c>
      <c r="H12" s="4" t="n">
        <f aca="false">SUMIFS(Data_BudgetActual!$I$2:$I$37,Data_BudgetActual!$A$2:$A$37,A12)</f>
        <v>22757</v>
      </c>
      <c r="I12" s="4" t="n">
        <f aca="false">H12-G12</f>
        <v>-1309</v>
      </c>
      <c r="J12" s="5" t="n">
        <f aca="false">IFERROR(H12/D12,0)</f>
        <v>0.311615933396322</v>
      </c>
      <c r="K12" s="5" t="n">
        <f aca="false">IFERROR(G12/C12,0)</f>
        <v>0.319988299272693</v>
      </c>
    </row>
    <row r="13" customFormat="false" ht="15" hidden="false" customHeight="false" outlineLevel="0" collapsed="false">
      <c r="A13" s="13" t="s">
        <v>19</v>
      </c>
      <c r="B13" s="13" t="n">
        <v>4</v>
      </c>
      <c r="C13" s="4" t="n">
        <f aca="false">SUMIFS(Data_BudgetActual!$D$2:$D$37,Data_BudgetActual!$A$2:$A$37,A13)</f>
        <v>91042</v>
      </c>
      <c r="D13" s="4" t="n">
        <f aca="false">SUMIFS(Data_BudgetActual!$E$2:$E$37,Data_BudgetActual!$A$2:$A$37,A13)</f>
        <v>95466</v>
      </c>
      <c r="E13" s="4" t="n">
        <f aca="false">D13-C13</f>
        <v>4424</v>
      </c>
      <c r="F13" s="5" t="n">
        <f aca="false">IFERROR(E13/C13,0)</f>
        <v>0.0485929570967246</v>
      </c>
      <c r="G13" s="4" t="n">
        <f aca="false">SUMIFS(Data_BudgetActual!$H$2:$H$37,Data_BudgetActual!$A$2:$A$37,A13)</f>
        <v>29134</v>
      </c>
      <c r="H13" s="4" t="n">
        <f aca="false">SUMIFS(Data_BudgetActual!$I$2:$I$37,Data_BudgetActual!$A$2:$A$37,A13)</f>
        <v>30585</v>
      </c>
      <c r="I13" s="4" t="n">
        <f aca="false">H13-G13</f>
        <v>1451</v>
      </c>
      <c r="J13" s="5" t="n">
        <f aca="false">IFERROR(H13/D13,0)</f>
        <v>0.320375840613412</v>
      </c>
      <c r="K13" s="5" t="n">
        <f aca="false">IFERROR(G13/C13,0)</f>
        <v>0.320006151007227</v>
      </c>
    </row>
    <row r="14" customFormat="false" ht="15" hidden="false" customHeight="false" outlineLevel="0" collapsed="false">
      <c r="A14" s="13" t="s">
        <v>20</v>
      </c>
      <c r="B14" s="13" t="n">
        <v>5</v>
      </c>
      <c r="C14" s="4" t="n">
        <f aca="false">SUMIFS(Data_BudgetActual!$D$2:$D$37,Data_BudgetActual!$A$2:$A$37,A14)</f>
        <v>95000</v>
      </c>
      <c r="D14" s="4" t="n">
        <f aca="false">SUMIFS(Data_BudgetActual!$E$2:$E$37,Data_BudgetActual!$A$2:$A$37,A14)</f>
        <v>98219</v>
      </c>
      <c r="E14" s="4" t="n">
        <f aca="false">D14-C14</f>
        <v>3219</v>
      </c>
      <c r="F14" s="5" t="n">
        <f aca="false">IFERROR(E14/C14,0)</f>
        <v>0.0338842105263158</v>
      </c>
      <c r="G14" s="4" t="n">
        <f aca="false">SUMIFS(Data_BudgetActual!$H$2:$H$37,Data_BudgetActual!$A$2:$A$37,A14)</f>
        <v>30400</v>
      </c>
      <c r="H14" s="4" t="n">
        <f aca="false">SUMIFS(Data_BudgetActual!$I$2:$I$37,Data_BudgetActual!$A$2:$A$37,A14)</f>
        <v>31221</v>
      </c>
      <c r="I14" s="4" t="n">
        <f aca="false">H14-G14</f>
        <v>821</v>
      </c>
      <c r="J14" s="5" t="n">
        <f aca="false">IFERROR(H14/D14,0)</f>
        <v>0.317871287632739</v>
      </c>
      <c r="K14" s="5" t="n">
        <f aca="false">IFERROR(G14/C14,0)</f>
        <v>0.32</v>
      </c>
    </row>
    <row r="15" customFormat="false" ht="15" hidden="false" customHeight="false" outlineLevel="0" collapsed="false">
      <c r="A15" s="13" t="s">
        <v>21</v>
      </c>
      <c r="B15" s="13" t="n">
        <v>6</v>
      </c>
      <c r="C15" s="4" t="n">
        <f aca="false">SUMIFS(Data_BudgetActual!$D$2:$D$37,Data_BudgetActual!$A$2:$A$37,A15)</f>
        <v>91042</v>
      </c>
      <c r="D15" s="4" t="n">
        <f aca="false">SUMIFS(Data_BudgetActual!$E$2:$E$37,Data_BudgetActual!$A$2:$A$37,A15)</f>
        <v>94027</v>
      </c>
      <c r="E15" s="4" t="n">
        <f aca="false">D15-C15</f>
        <v>2985</v>
      </c>
      <c r="F15" s="5" t="n">
        <f aca="false">IFERROR(E15/C15,0)</f>
        <v>0.032787065310516</v>
      </c>
      <c r="G15" s="4" t="n">
        <f aca="false">SUMIFS(Data_BudgetActual!$H$2:$H$37,Data_BudgetActual!$A$2:$A$37,A15)</f>
        <v>29134</v>
      </c>
      <c r="H15" s="4" t="n">
        <f aca="false">SUMIFS(Data_BudgetActual!$I$2:$I$37,Data_BudgetActual!$A$2:$A$37,A15)</f>
        <v>26839</v>
      </c>
      <c r="I15" s="4" t="n">
        <f aca="false">H15-G15</f>
        <v>-2295</v>
      </c>
      <c r="J15" s="5" t="n">
        <f aca="false">IFERROR(H15/D15,0)</f>
        <v>0.285439288714944</v>
      </c>
      <c r="K15" s="5" t="n">
        <f aca="false">IFERROR(G15/C15,0)</f>
        <v>0.320006151007227</v>
      </c>
    </row>
    <row r="16" customFormat="false" ht="15" hidden="false" customHeight="false" outlineLevel="0" collapsed="false">
      <c r="A16" s="13" t="s">
        <v>22</v>
      </c>
      <c r="B16" s="13" t="n">
        <v>7</v>
      </c>
      <c r="C16" s="4" t="n">
        <f aca="false">SUMIFS(Data_BudgetActual!$D$2:$D$37,Data_BudgetActual!$A$2:$A$37,A16)</f>
        <v>79166</v>
      </c>
      <c r="D16" s="4" t="n">
        <f aca="false">SUMIFS(Data_BudgetActual!$E$2:$E$37,Data_BudgetActual!$A$2:$A$37,A16)</f>
        <v>84457</v>
      </c>
      <c r="E16" s="4" t="n">
        <f aca="false">D16-C16</f>
        <v>5291</v>
      </c>
      <c r="F16" s="5" t="n">
        <f aca="false">IFERROR(E16/C16,0)</f>
        <v>0.0668342470252381</v>
      </c>
      <c r="G16" s="4" t="n">
        <f aca="false">SUMIFS(Data_BudgetActual!$H$2:$H$37,Data_BudgetActual!$A$2:$A$37,A16)</f>
        <v>25334</v>
      </c>
      <c r="H16" s="4" t="n">
        <f aca="false">SUMIFS(Data_BudgetActual!$I$2:$I$37,Data_BudgetActual!$A$2:$A$37,A16)</f>
        <v>25809</v>
      </c>
      <c r="I16" s="4" t="n">
        <f aca="false">H16-G16</f>
        <v>475</v>
      </c>
      <c r="J16" s="5" t="n">
        <f aca="false">IFERROR(H16/D16,0)</f>
        <v>0.305587458706798</v>
      </c>
      <c r="K16" s="5" t="n">
        <f aca="false">IFERROR(G16/C16,0)</f>
        <v>0.320011115883081</v>
      </c>
    </row>
    <row r="17" customFormat="false" ht="15" hidden="false" customHeight="false" outlineLevel="0" collapsed="false">
      <c r="A17" s="13" t="s">
        <v>23</v>
      </c>
      <c r="B17" s="13" t="n">
        <v>8</v>
      </c>
      <c r="C17" s="4" t="n">
        <f aca="false">SUMIFS(Data_BudgetActual!$D$2:$D$37,Data_BudgetActual!$A$2:$A$37,A17)</f>
        <v>75209</v>
      </c>
      <c r="D17" s="4" t="n">
        <f aca="false">SUMIFS(Data_BudgetActual!$E$2:$E$37,Data_BudgetActual!$A$2:$A$37,A17)</f>
        <v>71232</v>
      </c>
      <c r="E17" s="4" t="n">
        <f aca="false">D17-C17</f>
        <v>-3977</v>
      </c>
      <c r="F17" s="5" t="n">
        <f aca="false">IFERROR(E17/C17,0)</f>
        <v>-0.0528793096570889</v>
      </c>
      <c r="G17" s="4" t="n">
        <f aca="false">SUMIFS(Data_BudgetActual!$H$2:$H$37,Data_BudgetActual!$A$2:$A$37,A17)</f>
        <v>24066</v>
      </c>
      <c r="H17" s="4" t="n">
        <f aca="false">SUMIFS(Data_BudgetActual!$I$2:$I$37,Data_BudgetActual!$A$2:$A$37,A17)</f>
        <v>22885</v>
      </c>
      <c r="I17" s="4" t="n">
        <f aca="false">H17-G17</f>
        <v>-1181</v>
      </c>
      <c r="J17" s="5" t="n">
        <f aca="false">IFERROR(H17/D17,0)</f>
        <v>0.321274146451033</v>
      </c>
      <c r="K17" s="5" t="n">
        <f aca="false">IFERROR(G17/C17,0)</f>
        <v>0.319988299272693</v>
      </c>
    </row>
    <row r="18" customFormat="false" ht="15" hidden="false" customHeight="false" outlineLevel="0" collapsed="false">
      <c r="A18" s="13" t="s">
        <v>24</v>
      </c>
      <c r="B18" s="13" t="n">
        <v>9</v>
      </c>
      <c r="C18" s="4" t="n">
        <f aca="false">SUMIFS(Data_BudgetActual!$D$2:$D$37,Data_BudgetActual!$A$2:$A$37,A18)</f>
        <v>79166</v>
      </c>
      <c r="D18" s="4" t="n">
        <f aca="false">SUMIFS(Data_BudgetActual!$E$2:$E$37,Data_BudgetActual!$A$2:$A$37,A18)</f>
        <v>79516</v>
      </c>
      <c r="E18" s="4" t="n">
        <f aca="false">D18-C18</f>
        <v>350</v>
      </c>
      <c r="F18" s="5" t="n">
        <f aca="false">IFERROR(E18/C18,0)</f>
        <v>0.00442108986180936</v>
      </c>
      <c r="G18" s="4" t="n">
        <f aca="false">SUMIFS(Data_BudgetActual!$H$2:$H$37,Data_BudgetActual!$A$2:$A$37,A18)</f>
        <v>25334</v>
      </c>
      <c r="H18" s="4" t="n">
        <f aca="false">SUMIFS(Data_BudgetActual!$I$2:$I$37,Data_BudgetActual!$A$2:$A$37,A18)</f>
        <v>24688</v>
      </c>
      <c r="I18" s="4" t="n">
        <f aca="false">H18-G18</f>
        <v>-646</v>
      </c>
      <c r="J18" s="5" t="n">
        <f aca="false">IFERROR(H18/D18,0)</f>
        <v>0.310478394285427</v>
      </c>
      <c r="K18" s="5" t="n">
        <f aca="false">IFERROR(G18/C18,0)</f>
        <v>0.320011115883081</v>
      </c>
    </row>
    <row r="19" customFormat="false" ht="15" hidden="false" customHeight="false" outlineLevel="0" collapsed="false">
      <c r="A19" s="13" t="s">
        <v>25</v>
      </c>
      <c r="B19" s="13" t="n">
        <v>10</v>
      </c>
      <c r="C19" s="4" t="n">
        <f aca="false">SUMIFS(Data_BudgetActual!$D$2:$D$37,Data_BudgetActual!$A$2:$A$37,A19)</f>
        <v>75209</v>
      </c>
      <c r="D19" s="4" t="n">
        <f aca="false">SUMIFS(Data_BudgetActual!$E$2:$E$37,Data_BudgetActual!$A$2:$A$37,A19)</f>
        <v>74393</v>
      </c>
      <c r="E19" s="4" t="n">
        <f aca="false">D19-C19</f>
        <v>-816</v>
      </c>
      <c r="F19" s="5" t="n">
        <f aca="false">IFERROR(E19/C19,0)</f>
        <v>-0.0108497653206398</v>
      </c>
      <c r="G19" s="4" t="n">
        <f aca="false">SUMIFS(Data_BudgetActual!$H$2:$H$37,Data_BudgetActual!$A$2:$A$37,A19)</f>
        <v>24066</v>
      </c>
      <c r="H19" s="4" t="n">
        <f aca="false">SUMIFS(Data_BudgetActual!$I$2:$I$37,Data_BudgetActual!$A$2:$A$37,A19)</f>
        <v>22141</v>
      </c>
      <c r="I19" s="4" t="n">
        <f aca="false">H19-G19</f>
        <v>-1925</v>
      </c>
      <c r="J19" s="5" t="n">
        <f aca="false">IFERROR(H19/D19,0)</f>
        <v>0.297622088099687</v>
      </c>
      <c r="K19" s="5" t="n">
        <f aca="false">IFERROR(G19/C19,0)</f>
        <v>0.319988299272693</v>
      </c>
    </row>
    <row r="20" customFormat="false" ht="15" hidden="false" customHeight="false" outlineLevel="0" collapsed="false">
      <c r="A20" s="13" t="s">
        <v>26</v>
      </c>
      <c r="B20" s="13" t="n">
        <v>11</v>
      </c>
      <c r="C20" s="4" t="n">
        <f aca="false">SUMIFS(Data_BudgetActual!$D$2:$D$37,Data_BudgetActual!$A$2:$A$37,A20)</f>
        <v>75209</v>
      </c>
      <c r="D20" s="4" t="n">
        <f aca="false">SUMIFS(Data_BudgetActual!$E$2:$E$37,Data_BudgetActual!$A$2:$A$37,A20)</f>
        <v>80142</v>
      </c>
      <c r="E20" s="4" t="n">
        <f aca="false">D20-C20</f>
        <v>4933</v>
      </c>
      <c r="F20" s="5" t="n">
        <f aca="false">IFERROR(E20/C20,0)</f>
        <v>0.0655905543219562</v>
      </c>
      <c r="G20" s="4" t="n">
        <f aca="false">SUMIFS(Data_BudgetActual!$H$2:$H$37,Data_BudgetActual!$A$2:$A$37,A20)</f>
        <v>24066</v>
      </c>
      <c r="H20" s="4" t="n">
        <f aca="false">SUMIFS(Data_BudgetActual!$I$2:$I$37,Data_BudgetActual!$A$2:$A$37,A20)</f>
        <v>23420</v>
      </c>
      <c r="I20" s="4" t="n">
        <f aca="false">H20-G20</f>
        <v>-646</v>
      </c>
      <c r="J20" s="5" t="n">
        <f aca="false">IFERROR(H20/D20,0)</f>
        <v>0.292231289461206</v>
      </c>
      <c r="K20" s="5" t="n">
        <f aca="false">IFERROR(G20/C20,0)</f>
        <v>0.319988299272693</v>
      </c>
    </row>
    <row r="21" customFormat="false" ht="15" hidden="false" customHeight="false" outlineLevel="0" collapsed="false">
      <c r="A21" s="13" t="s">
        <v>27</v>
      </c>
      <c r="B21" s="13" t="n">
        <v>12</v>
      </c>
      <c r="C21" s="4" t="n">
        <f aca="false">SUMIFS(Data_BudgetActual!$D$2:$D$37,Data_BudgetActual!$A$2:$A$37,A21)</f>
        <v>75209</v>
      </c>
      <c r="D21" s="4" t="n">
        <f aca="false">SUMIFS(Data_BudgetActual!$E$2:$E$37,Data_BudgetActual!$A$2:$A$37,A21)</f>
        <v>72654</v>
      </c>
      <c r="E21" s="4" t="n">
        <f aca="false">D21-C21</f>
        <v>-2555</v>
      </c>
      <c r="F21" s="5" t="n">
        <f aca="false">IFERROR(E21/C21,0)</f>
        <v>-0.0339719980321504</v>
      </c>
      <c r="G21" s="4" t="n">
        <f aca="false">SUMIFS(Data_BudgetActual!$H$2:$H$37,Data_BudgetActual!$A$2:$A$37,A21)</f>
        <v>24066</v>
      </c>
      <c r="H21" s="4" t="n">
        <f aca="false">SUMIFS(Data_BudgetActual!$I$2:$I$37,Data_BudgetActual!$A$2:$A$37,A21)</f>
        <v>23196</v>
      </c>
      <c r="I21" s="4" t="n">
        <f aca="false">H21-G21</f>
        <v>-870</v>
      </c>
      <c r="J21" s="5" t="n">
        <f aca="false">IFERROR(H21/D21,0)</f>
        <v>0.31926666116112</v>
      </c>
      <c r="K21" s="5" t="n">
        <f aca="false">IFERROR(G21/C21,0)</f>
        <v>0.319988299272693</v>
      </c>
    </row>
  </sheetData>
  <mergeCells count="12">
    <mergeCell ref="A1:M1"/>
    <mergeCell ref="A2:M2"/>
    <mergeCell ref="A4:B4"/>
    <mergeCell ref="D4:E4"/>
    <mergeCell ref="G4:H4"/>
    <mergeCell ref="J4:K4"/>
    <mergeCell ref="M4:N4"/>
    <mergeCell ref="A5:B5"/>
    <mergeCell ref="D5:E5"/>
    <mergeCell ref="G5:H5"/>
    <mergeCell ref="J5:K5"/>
    <mergeCell ref="M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3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7" t="s">
        <v>46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47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14" t="s">
        <v>48</v>
      </c>
      <c r="B4" s="15" t="n">
        <f aca="false">SUM(Data_BudgetActual!D2:D37)</f>
        <v>950002</v>
      </c>
    </row>
    <row r="5" customFormat="false" ht="15" hidden="false" customHeight="false" outlineLevel="0" collapsed="false">
      <c r="A5" s="14" t="s">
        <v>49</v>
      </c>
      <c r="B5" s="15" t="n">
        <f aca="false">SUM(Data_BudgetActual!E2:E37)</f>
        <v>964588</v>
      </c>
    </row>
    <row r="6" customFormat="false" ht="15" hidden="false" customHeight="false" outlineLevel="0" collapsed="false">
      <c r="A6" s="14" t="s">
        <v>50</v>
      </c>
      <c r="B6" s="15" t="n">
        <f aca="false">SUM(Data_BudgetActual!F2:F37)</f>
        <v>646002</v>
      </c>
    </row>
    <row r="7" customFormat="false" ht="15" hidden="false" customHeight="false" outlineLevel="0" collapsed="false">
      <c r="A7" s="14" t="s">
        <v>51</v>
      </c>
      <c r="B7" s="15" t="n">
        <f aca="false">SUM(Data_BudgetActual!G2:G37)</f>
        <v>664805</v>
      </c>
    </row>
    <row r="10" customFormat="false" ht="23.85" hidden="false" customHeight="false" outlineLevel="0" collapsed="false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</row>
    <row r="11" customFormat="false" ht="22.35" hidden="false" customHeight="false" outlineLevel="0" collapsed="false">
      <c r="A11" s="13" t="s">
        <v>58</v>
      </c>
      <c r="B11" s="4" t="n">
        <f aca="false">$B$6*0.68</f>
        <v>439281.36</v>
      </c>
      <c r="C11" s="4" t="n">
        <f aca="false">$B$7*0.71</f>
        <v>472011.55</v>
      </c>
      <c r="D11" s="4" t="n">
        <f aca="false">C11-B11</f>
        <v>32730.1899999999</v>
      </c>
      <c r="E11" s="5" t="n">
        <f aca="false">IFERROR(D11/B11,0)</f>
        <v>0.0745084881361685</v>
      </c>
      <c r="F11" s="16" t="s">
        <v>59</v>
      </c>
    </row>
    <row r="12" customFormat="false" ht="22.35" hidden="false" customHeight="false" outlineLevel="0" collapsed="false">
      <c r="A12" s="13" t="s">
        <v>60</v>
      </c>
      <c r="B12" s="4" t="n">
        <f aca="false">$B$6*0.12</f>
        <v>77520.24</v>
      </c>
      <c r="C12" s="4" t="n">
        <f aca="false">$B$7*0.115</f>
        <v>76452.575</v>
      </c>
      <c r="D12" s="4" t="n">
        <f aca="false">C12-B12</f>
        <v>-1067.66499999999</v>
      </c>
      <c r="E12" s="5" t="n">
        <f aca="false">IFERROR(D12/B12,0)</f>
        <v>-0.0137727256778358</v>
      </c>
      <c r="F12" s="16" t="s">
        <v>61</v>
      </c>
    </row>
    <row r="13" customFormat="false" ht="22.35" hidden="false" customHeight="false" outlineLevel="0" collapsed="false">
      <c r="A13" s="13" t="s">
        <v>62</v>
      </c>
      <c r="B13" s="4" t="n">
        <f aca="false">$B$6*0.2</f>
        <v>129200.4</v>
      </c>
      <c r="C13" s="4" t="n">
        <f aca="false">$B$7*0.205</f>
        <v>136285.025</v>
      </c>
      <c r="D13" s="4" t="n">
        <f aca="false">C13-B13</f>
        <v>7084.62499999999</v>
      </c>
      <c r="E13" s="5" t="n">
        <f aca="false">IFERROR(D13/B13,0)</f>
        <v>0.0548343890576189</v>
      </c>
      <c r="F13" s="16" t="s">
        <v>63</v>
      </c>
    </row>
    <row r="14" customFormat="false" ht="22.35" hidden="false" customHeight="false" outlineLevel="0" collapsed="false">
      <c r="A14" s="13" t="s">
        <v>64</v>
      </c>
      <c r="B14" s="4" t="n">
        <f aca="false">$B$4*0.045</f>
        <v>42750.09</v>
      </c>
      <c r="C14" s="4" t="n">
        <f aca="false">$B$5*0.052</f>
        <v>50158.576</v>
      </c>
      <c r="D14" s="4" t="n">
        <f aca="false">C14-B14</f>
        <v>7408.486</v>
      </c>
      <c r="E14" s="5" t="n">
        <f aca="false">IFERROR(D14/B14,0)</f>
        <v>0.173297553291701</v>
      </c>
      <c r="F14" s="16" t="s">
        <v>65</v>
      </c>
    </row>
    <row r="15" customFormat="false" ht="22.35" hidden="false" customHeight="false" outlineLevel="0" collapsed="false">
      <c r="A15" s="13" t="s">
        <v>66</v>
      </c>
      <c r="B15" s="4" t="n">
        <f aca="false">$B$4*0.075</f>
        <v>71250.15</v>
      </c>
      <c r="C15" s="4" t="n">
        <f aca="false">$B$5*0.07</f>
        <v>67521.16</v>
      </c>
      <c r="D15" s="4" t="n">
        <f aca="false">C15-B15</f>
        <v>-3728.98999999999</v>
      </c>
      <c r="E15" s="5" t="n">
        <f aca="false">IFERROR(D15/B15,0)</f>
        <v>-0.0523365915720878</v>
      </c>
      <c r="F15" s="16" t="s">
        <v>67</v>
      </c>
    </row>
    <row r="16" customFormat="false" ht="15" hidden="false" customHeight="false" outlineLevel="0" collapsed="false">
      <c r="A16" s="17" t="s">
        <v>68</v>
      </c>
      <c r="B16" s="18" t="n">
        <f aca="false">SUM(B11:B15)</f>
        <v>760002.24</v>
      </c>
      <c r="C16" s="18" t="n">
        <f aca="false">SUM(C11:C15)</f>
        <v>802428.886</v>
      </c>
      <c r="D16" s="18" t="n">
        <f aca="false">C16-B16</f>
        <v>42426.646</v>
      </c>
      <c r="E16" s="19" t="n">
        <f aca="false">IFERROR(D16/B16,0)</f>
        <v>0.0558243696755419</v>
      </c>
      <c r="F16" s="2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7" t="s">
        <v>69</v>
      </c>
      <c r="B1" s="7"/>
      <c r="C1" s="7"/>
      <c r="D1" s="7"/>
      <c r="E1" s="7"/>
      <c r="F1" s="7"/>
      <c r="G1" s="7"/>
      <c r="H1" s="7"/>
    </row>
    <row r="3" customFormat="false" ht="15" hidden="false" customHeight="false" outlineLevel="0" collapsed="false">
      <c r="A3" s="12" t="s">
        <v>70</v>
      </c>
    </row>
    <row r="4" customFormat="false" ht="23.85" hidden="false" customHeight="false" outlineLevel="0" collapsed="false">
      <c r="A4" s="1" t="s">
        <v>2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</row>
    <row r="5" customFormat="false" ht="15" hidden="false" customHeight="false" outlineLevel="0" collapsed="false">
      <c r="A5" s="13" t="s">
        <v>14</v>
      </c>
      <c r="B5" s="4" t="n">
        <f aca="false">SUMIFS(Data_BudgetActual!$E$2:$E$37,Data_BudgetActual!$C$2:$C$37,A5)</f>
        <v>443458</v>
      </c>
      <c r="C5" s="4" t="n">
        <f aca="false">SUMIFS(Data_BudgetActual!$G$2:$G$37,Data_BudgetActual!$C$2:$C$37,A5)</f>
        <v>303207</v>
      </c>
      <c r="D5" s="4" t="n">
        <f aca="false">B5-C5</f>
        <v>140251</v>
      </c>
      <c r="E5" s="5" t="n">
        <f aca="false">IFERROR(D5/B5,0)</f>
        <v>0.316266703949416</v>
      </c>
      <c r="F5" s="4" t="n">
        <f aca="false">(Variance_Analysis!$C$14+Variance_Analysis!$C$15)*B5/Profitability_Analysis!$B$8</f>
        <v>54101.876</v>
      </c>
      <c r="G5" s="4" t="n">
        <f aca="false">D5-F5</f>
        <v>86149.124</v>
      </c>
      <c r="H5" s="5" t="n">
        <f aca="false">IFERROR(G5/B5,0)</f>
        <v>0.194266703949416</v>
      </c>
    </row>
    <row r="6" customFormat="false" ht="15" hidden="false" customHeight="false" outlineLevel="0" collapsed="false">
      <c r="A6" s="13" t="s">
        <v>15</v>
      </c>
      <c r="B6" s="4" t="n">
        <f aca="false">SUMIFS(Data_BudgetActual!$E$2:$E$37,Data_BudgetActual!$C$2:$C$37,A6)</f>
        <v>331723</v>
      </c>
      <c r="C6" s="4" t="n">
        <f aca="false">SUMIFS(Data_BudgetActual!$G$2:$G$37,Data_BudgetActual!$C$2:$C$37,A6)</f>
        <v>229534</v>
      </c>
      <c r="D6" s="4" t="n">
        <f aca="false">B6-C6</f>
        <v>102189</v>
      </c>
      <c r="E6" s="5" t="n">
        <f aca="false">IFERROR(D6/B6,0)</f>
        <v>0.308055214742421</v>
      </c>
      <c r="F6" s="4" t="n">
        <f aca="false">(Variance_Analysis!$C$14+Variance_Analysis!$C$15)*B6/Profitability_Analysis!$B$8</f>
        <v>40470.206</v>
      </c>
      <c r="G6" s="4" t="n">
        <f aca="false">D6-F6</f>
        <v>61718.794</v>
      </c>
      <c r="H6" s="5" t="n">
        <f aca="false">IFERROR(G6/B6,0)</f>
        <v>0.186055214742421</v>
      </c>
    </row>
    <row r="7" customFormat="false" ht="15" hidden="false" customHeight="false" outlineLevel="0" collapsed="false">
      <c r="A7" s="13" t="s">
        <v>16</v>
      </c>
      <c r="B7" s="4" t="n">
        <f aca="false">SUMIFS(Data_BudgetActual!$E$2:$E$37,Data_BudgetActual!$C$2:$C$37,A7)</f>
        <v>189407</v>
      </c>
      <c r="C7" s="4" t="n">
        <f aca="false">SUMIFS(Data_BudgetActual!$G$2:$G$37,Data_BudgetActual!$C$2:$C$37,A7)</f>
        <v>132064</v>
      </c>
      <c r="D7" s="4" t="n">
        <f aca="false">B7-C7</f>
        <v>57343</v>
      </c>
      <c r="E7" s="5" t="n">
        <f aca="false">IFERROR(D7/B7,0)</f>
        <v>0.302750162348804</v>
      </c>
      <c r="F7" s="4" t="n">
        <f aca="false">(Variance_Analysis!$C$14+Variance_Analysis!$C$15)*B7/Profitability_Analysis!$B$8</f>
        <v>23107.654</v>
      </c>
      <c r="G7" s="4" t="n">
        <f aca="false">D7-F7</f>
        <v>34235.346</v>
      </c>
      <c r="H7" s="5" t="n">
        <f aca="false">IFERROR(G7/B7,0)</f>
        <v>0.180750162348804</v>
      </c>
    </row>
    <row r="8" customFormat="false" ht="15" hidden="false" customHeight="false" outlineLevel="0" collapsed="false">
      <c r="A8" s="17" t="s">
        <v>78</v>
      </c>
      <c r="B8" s="18" t="n">
        <f aca="false">SUM(B5:B7)</f>
        <v>964588</v>
      </c>
      <c r="C8" s="18" t="n">
        <f aca="false">SUM(C5:C7)</f>
        <v>664805</v>
      </c>
      <c r="D8" s="18" t="n">
        <f aca="false">SUM(D5:D7)</f>
        <v>299783</v>
      </c>
      <c r="E8" s="19" t="n">
        <f aca="false">IFERROR(D8/B8,0)</f>
        <v>0.3107886475884</v>
      </c>
      <c r="F8" s="18" t="n">
        <f aca="false">SUM(F5:F7)</f>
        <v>117679.736</v>
      </c>
      <c r="G8" s="18" t="n">
        <f aca="false">SUM(G5:G7)</f>
        <v>182103.264</v>
      </c>
      <c r="H8" s="19" t="n">
        <f aca="false">IFERROR(G8/B8,0)</f>
        <v>0.1887886475884</v>
      </c>
    </row>
    <row r="28" customFormat="false" ht="15" hidden="false" customHeight="false" outlineLevel="0" collapsed="false">
      <c r="A28" s="12" t="s">
        <v>79</v>
      </c>
    </row>
    <row r="29" customFormat="false" ht="35.05" hidden="false" customHeight="false" outlineLevel="0" collapsed="false">
      <c r="A29" s="1" t="s">
        <v>80</v>
      </c>
      <c r="B29" s="1" t="s">
        <v>81</v>
      </c>
      <c r="C29" s="1" t="s">
        <v>71</v>
      </c>
      <c r="D29" s="1" t="s">
        <v>82</v>
      </c>
      <c r="E29" s="1" t="s">
        <v>73</v>
      </c>
    </row>
    <row r="30" customFormat="false" ht="15" hidden="false" customHeight="false" outlineLevel="0" collapsed="false">
      <c r="A30" s="13" t="s">
        <v>83</v>
      </c>
      <c r="B30" s="21" t="n">
        <v>0.28</v>
      </c>
      <c r="C30" s="22" t="n">
        <f aca="false">B30*$B$8</f>
        <v>270084.64</v>
      </c>
      <c r="D30" s="23" t="n">
        <v>0.34</v>
      </c>
      <c r="E30" s="22" t="n">
        <f aca="false">C30*D30</f>
        <v>91828.7776</v>
      </c>
    </row>
    <row r="31" customFormat="false" ht="15" hidden="false" customHeight="false" outlineLevel="0" collapsed="false">
      <c r="A31" s="13" t="s">
        <v>84</v>
      </c>
      <c r="B31" s="21" t="n">
        <v>0.18</v>
      </c>
      <c r="C31" s="22" t="n">
        <f aca="false">B31*$B$8</f>
        <v>173625.84</v>
      </c>
      <c r="D31" s="23" t="n">
        <v>0.36</v>
      </c>
      <c r="E31" s="22" t="n">
        <f aca="false">C31*D31</f>
        <v>62505.3024</v>
      </c>
    </row>
    <row r="32" customFormat="false" ht="15" hidden="false" customHeight="false" outlineLevel="0" collapsed="false">
      <c r="A32" s="13" t="s">
        <v>85</v>
      </c>
      <c r="B32" s="21" t="n">
        <v>0.12</v>
      </c>
      <c r="C32" s="22" t="n">
        <f aca="false">B32*$B$8</f>
        <v>115750.56</v>
      </c>
      <c r="D32" s="23" t="n">
        <v>0.33</v>
      </c>
      <c r="E32" s="22" t="n">
        <f aca="false">C32*D32</f>
        <v>38197.6848</v>
      </c>
    </row>
    <row r="33" customFormat="false" ht="15" hidden="false" customHeight="false" outlineLevel="0" collapsed="false">
      <c r="A33" s="13" t="s">
        <v>86</v>
      </c>
      <c r="B33" s="21" t="n">
        <v>0.15</v>
      </c>
      <c r="C33" s="22" t="n">
        <f aca="false">B33*$B$8</f>
        <v>144688.2</v>
      </c>
      <c r="D33" s="23" t="n">
        <v>0.3</v>
      </c>
      <c r="E33" s="22" t="n">
        <f aca="false">C33*D33</f>
        <v>43406.46</v>
      </c>
    </row>
    <row r="34" customFormat="false" ht="15" hidden="false" customHeight="false" outlineLevel="0" collapsed="false">
      <c r="A34" s="13" t="s">
        <v>87</v>
      </c>
      <c r="B34" s="21" t="n">
        <v>0.17</v>
      </c>
      <c r="C34" s="22" t="n">
        <f aca="false">B34*$B$8</f>
        <v>163979.96</v>
      </c>
      <c r="D34" s="23" t="n">
        <v>0.38</v>
      </c>
      <c r="E34" s="22" t="n">
        <f aca="false">C34*D34</f>
        <v>62312.3848</v>
      </c>
    </row>
    <row r="35" customFormat="false" ht="15" hidden="false" customHeight="false" outlineLevel="0" collapsed="false">
      <c r="A35" s="13" t="s">
        <v>88</v>
      </c>
      <c r="B35" s="21" t="n">
        <v>0.1</v>
      </c>
      <c r="C35" s="22" t="n">
        <f aca="false">B35*$B$8</f>
        <v>96458.8</v>
      </c>
      <c r="D35" s="23" t="n">
        <v>0.28</v>
      </c>
      <c r="E35" s="22" t="n">
        <f aca="false">C35*D35</f>
        <v>27008.464</v>
      </c>
    </row>
    <row r="36" customFormat="false" ht="15" hidden="false" customHeight="false" outlineLevel="0" collapsed="false">
      <c r="A36" s="17" t="s">
        <v>78</v>
      </c>
      <c r="B36" s="24" t="n">
        <f aca="false">SUM(B30:B35)</f>
        <v>1</v>
      </c>
      <c r="C36" s="25" t="n">
        <f aca="false">SUM(C30:C35)</f>
        <v>964588</v>
      </c>
      <c r="D36" s="20"/>
      <c r="E36" s="25" t="n">
        <f aca="false">SUM(E30:E35)</f>
        <v>325259.0736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5"/>
    <col collapsed="false" customWidth="true" hidden="false" outlineLevel="0" max="6" min="4" style="0" width="10"/>
    <col collapsed="false" customWidth="true" hidden="false" outlineLevel="0" max="9" min="7" style="0" width="14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7" t="s">
        <v>89</v>
      </c>
      <c r="B1" s="7"/>
      <c r="C1" s="7"/>
      <c r="D1" s="7"/>
      <c r="E1" s="7"/>
      <c r="F1" s="7"/>
      <c r="G1" s="7"/>
      <c r="H1" s="7"/>
      <c r="I1" s="7"/>
      <c r="J1" s="7"/>
    </row>
    <row r="3" customFormat="false" ht="15" hidden="false" customHeight="false" outlineLevel="0" collapsed="false">
      <c r="A3" s="26" t="s">
        <v>90</v>
      </c>
    </row>
    <row r="4" customFormat="false" ht="15" hidden="false" customHeight="false" outlineLevel="0" collapsed="false">
      <c r="A4" s="0" t="s">
        <v>91</v>
      </c>
      <c r="B4" s="27" t="n">
        <v>45</v>
      </c>
    </row>
    <row r="5" customFormat="false" ht="15" hidden="false" customHeight="false" outlineLevel="0" collapsed="false">
      <c r="A5" s="0" t="s">
        <v>92</v>
      </c>
      <c r="B5" s="27" t="n">
        <v>55</v>
      </c>
    </row>
    <row r="6" customFormat="false" ht="15" hidden="false" customHeight="false" outlineLevel="0" collapsed="false">
      <c r="A6" s="0" t="s">
        <v>93</v>
      </c>
      <c r="B6" s="27" t="n">
        <v>40</v>
      </c>
    </row>
    <row r="8" customFormat="false" ht="23.85" hidden="false" customHeight="false" outlineLevel="0" collapsed="false">
      <c r="A8" s="1" t="s">
        <v>0</v>
      </c>
      <c r="B8" s="1" t="s">
        <v>38</v>
      </c>
      <c r="C8" s="1" t="s">
        <v>94</v>
      </c>
      <c r="D8" s="1" t="s">
        <v>95</v>
      </c>
      <c r="E8" s="1" t="s">
        <v>96</v>
      </c>
      <c r="F8" s="1" t="s">
        <v>97</v>
      </c>
      <c r="G8" s="1" t="s">
        <v>98</v>
      </c>
      <c r="H8" s="1" t="s">
        <v>99</v>
      </c>
      <c r="I8" s="1" t="s">
        <v>100</v>
      </c>
      <c r="J8" s="1" t="s">
        <v>101</v>
      </c>
    </row>
    <row r="9" customFormat="false" ht="15" hidden="false" customHeight="false" outlineLevel="0" collapsed="false">
      <c r="A9" s="13" t="s">
        <v>13</v>
      </c>
      <c r="B9" s="4" t="n">
        <f aca="false">SUMIFS(Data_BudgetActual!$E$2:$E$37,Data_BudgetActual!$A$2:$A$37,A9)</f>
        <v>72364</v>
      </c>
      <c r="C9" s="4" t="n">
        <f aca="false">SUMIFS(Data_BudgetActual!$G$2:$G$37,Data_BudgetActual!$A$2:$A$37,A9)</f>
        <v>48907</v>
      </c>
      <c r="D9" s="4" t="n">
        <f aca="false">$B$4/365*C9*12</f>
        <v>72355.5616438356</v>
      </c>
      <c r="E9" s="4" t="n">
        <f aca="false">$B$5/365*B9*12</f>
        <v>130849.97260274</v>
      </c>
      <c r="F9" s="4" t="n">
        <f aca="false">$B$6/365*C9*12</f>
        <v>64316.0547945205</v>
      </c>
      <c r="G9" s="4" t="n">
        <f aca="false">D9+E9-F9</f>
        <v>138889.479452055</v>
      </c>
      <c r="H9" s="28" t="n">
        <f aca="false">$B$4</f>
        <v>45</v>
      </c>
      <c r="I9" s="28" t="n">
        <f aca="false">$B$5</f>
        <v>55</v>
      </c>
      <c r="J9" s="28" t="n">
        <f aca="false">H9+I9-$B$6</f>
        <v>60</v>
      </c>
    </row>
    <row r="10" customFormat="false" ht="15" hidden="false" customHeight="false" outlineLevel="0" collapsed="false">
      <c r="A10" s="13" t="s">
        <v>17</v>
      </c>
      <c r="B10" s="4" t="n">
        <f aca="false">SUMIFS(Data_BudgetActual!$E$2:$E$37,Data_BudgetActual!$A$2:$A$37,A10)</f>
        <v>69089</v>
      </c>
      <c r="C10" s="4" t="n">
        <f aca="false">SUMIFS(Data_BudgetActual!$G$2:$G$37,Data_BudgetActual!$A$2:$A$37,A10)</f>
        <v>46304</v>
      </c>
      <c r="D10" s="4" t="n">
        <f aca="false">$B$4/365*C10*12</f>
        <v>68504.5479452055</v>
      </c>
      <c r="E10" s="4" t="n">
        <f aca="false">$B$5/365*B10*12</f>
        <v>124928.054794521</v>
      </c>
      <c r="F10" s="4" t="n">
        <f aca="false">$B$6/365*C10*12</f>
        <v>60892.9315068493</v>
      </c>
      <c r="G10" s="4" t="n">
        <f aca="false">D10+E10-F10</f>
        <v>132539.671232877</v>
      </c>
      <c r="H10" s="28" t="n">
        <f aca="false">$B$4</f>
        <v>45</v>
      </c>
      <c r="I10" s="28" t="n">
        <f aca="false">$B$5</f>
        <v>55</v>
      </c>
      <c r="J10" s="28" t="n">
        <f aca="false">H10+I10-$B$6</f>
        <v>60</v>
      </c>
    </row>
    <row r="11" customFormat="false" ht="15" hidden="false" customHeight="false" outlineLevel="0" collapsed="false">
      <c r="A11" s="13" t="s">
        <v>18</v>
      </c>
      <c r="B11" s="4" t="n">
        <f aca="false">SUMIFS(Data_BudgetActual!$E$2:$E$37,Data_BudgetActual!$A$2:$A$37,A11)</f>
        <v>73029</v>
      </c>
      <c r="C11" s="4" t="n">
        <f aca="false">SUMIFS(Data_BudgetActual!$G$2:$G$37,Data_BudgetActual!$A$2:$A$37,A11)</f>
        <v>50272</v>
      </c>
      <c r="D11" s="4" t="n">
        <f aca="false">$B$4/365*C11*12</f>
        <v>74375.0136986301</v>
      </c>
      <c r="E11" s="4" t="n">
        <f aca="false">$B$5/365*B11*12</f>
        <v>132052.438356164</v>
      </c>
      <c r="F11" s="4" t="n">
        <f aca="false">$B$6/365*C11*12</f>
        <v>66111.1232876712</v>
      </c>
      <c r="G11" s="4" t="n">
        <f aca="false">D11+E11-F11</f>
        <v>140316.328767123</v>
      </c>
      <c r="H11" s="28" t="n">
        <f aca="false">$B$4</f>
        <v>45</v>
      </c>
      <c r="I11" s="28" t="n">
        <f aca="false">$B$5</f>
        <v>55</v>
      </c>
      <c r="J11" s="28" t="n">
        <f aca="false">H11+I11-$B$6</f>
        <v>60</v>
      </c>
    </row>
    <row r="12" customFormat="false" ht="15" hidden="false" customHeight="false" outlineLevel="0" collapsed="false">
      <c r="A12" s="13" t="s">
        <v>19</v>
      </c>
      <c r="B12" s="4" t="n">
        <f aca="false">SUMIFS(Data_BudgetActual!$E$2:$E$37,Data_BudgetActual!$A$2:$A$37,A12)</f>
        <v>95466</v>
      </c>
      <c r="C12" s="4" t="n">
        <f aca="false">SUMIFS(Data_BudgetActual!$G$2:$G$37,Data_BudgetActual!$A$2:$A$37,A12)</f>
        <v>64881</v>
      </c>
      <c r="D12" s="4" t="n">
        <f aca="false">$B$4/365*C12*12</f>
        <v>95988.3287671233</v>
      </c>
      <c r="E12" s="4" t="n">
        <f aca="false">$B$5/365*B12*12</f>
        <v>172623.452054795</v>
      </c>
      <c r="F12" s="4" t="n">
        <f aca="false">$B$6/365*C12*12</f>
        <v>85322.9589041096</v>
      </c>
      <c r="G12" s="4" t="n">
        <f aca="false">D12+E12-F12</f>
        <v>183288.821917808</v>
      </c>
      <c r="H12" s="28" t="n">
        <f aca="false">$B$4</f>
        <v>45</v>
      </c>
      <c r="I12" s="28" t="n">
        <f aca="false">$B$5</f>
        <v>55</v>
      </c>
      <c r="J12" s="28" t="n">
        <f aca="false">H12+I12-$B$6</f>
        <v>60</v>
      </c>
    </row>
    <row r="13" customFormat="false" ht="15" hidden="false" customHeight="false" outlineLevel="0" collapsed="false">
      <c r="A13" s="13" t="s">
        <v>20</v>
      </c>
      <c r="B13" s="4" t="n">
        <f aca="false">SUMIFS(Data_BudgetActual!$E$2:$E$37,Data_BudgetActual!$A$2:$A$37,A13)</f>
        <v>98219</v>
      </c>
      <c r="C13" s="4" t="n">
        <f aca="false">SUMIFS(Data_BudgetActual!$G$2:$G$37,Data_BudgetActual!$A$2:$A$37,A13)</f>
        <v>66998</v>
      </c>
      <c r="D13" s="4" t="n">
        <f aca="false">$B$4/365*C13*12</f>
        <v>99120.3287671233</v>
      </c>
      <c r="E13" s="4" t="n">
        <f aca="false">$B$5/365*B13*12</f>
        <v>177601.479452055</v>
      </c>
      <c r="F13" s="4" t="n">
        <f aca="false">$B$6/365*C13*12</f>
        <v>88106.9589041096</v>
      </c>
      <c r="G13" s="4" t="n">
        <f aca="false">D13+E13-F13</f>
        <v>188614.849315069</v>
      </c>
      <c r="H13" s="28" t="n">
        <f aca="false">$B$4</f>
        <v>45</v>
      </c>
      <c r="I13" s="28" t="n">
        <f aca="false">$B$5</f>
        <v>55</v>
      </c>
      <c r="J13" s="28" t="n">
        <f aca="false">H13+I13-$B$6</f>
        <v>60</v>
      </c>
    </row>
    <row r="14" customFormat="false" ht="15" hidden="false" customHeight="false" outlineLevel="0" collapsed="false">
      <c r="A14" s="13" t="s">
        <v>21</v>
      </c>
      <c r="B14" s="4" t="n">
        <f aca="false">SUMIFS(Data_BudgetActual!$E$2:$E$37,Data_BudgetActual!$A$2:$A$37,A14)</f>
        <v>94027</v>
      </c>
      <c r="C14" s="4" t="n">
        <f aca="false">SUMIFS(Data_BudgetActual!$G$2:$G$37,Data_BudgetActual!$A$2:$A$37,A14)</f>
        <v>67188</v>
      </c>
      <c r="D14" s="4" t="n">
        <f aca="false">$B$4/365*C14*12</f>
        <v>99401.4246575342</v>
      </c>
      <c r="E14" s="4" t="n">
        <f aca="false">$B$5/365*B14*12</f>
        <v>170021.424657534</v>
      </c>
      <c r="F14" s="4" t="n">
        <f aca="false">$B$6/365*C14*12</f>
        <v>88356.8219178082</v>
      </c>
      <c r="G14" s="4" t="n">
        <f aca="false">D14+E14-F14</f>
        <v>181066.02739726</v>
      </c>
      <c r="H14" s="28" t="n">
        <f aca="false">$B$4</f>
        <v>45</v>
      </c>
      <c r="I14" s="28" t="n">
        <f aca="false">$B$5</f>
        <v>55</v>
      </c>
      <c r="J14" s="28" t="n">
        <f aca="false">H14+I14-$B$6</f>
        <v>60</v>
      </c>
    </row>
    <row r="15" customFormat="false" ht="15" hidden="false" customHeight="false" outlineLevel="0" collapsed="false">
      <c r="A15" s="13" t="s">
        <v>22</v>
      </c>
      <c r="B15" s="4" t="n">
        <f aca="false">SUMIFS(Data_BudgetActual!$E$2:$E$37,Data_BudgetActual!$A$2:$A$37,A15)</f>
        <v>84457</v>
      </c>
      <c r="C15" s="4" t="n">
        <f aca="false">SUMIFS(Data_BudgetActual!$G$2:$G$37,Data_BudgetActual!$A$2:$A$37,A15)</f>
        <v>58648</v>
      </c>
      <c r="D15" s="4" t="n">
        <f aca="false">$B$4/365*C15*12</f>
        <v>86766.904109589</v>
      </c>
      <c r="E15" s="4" t="n">
        <f aca="false">$B$5/365*B15*12</f>
        <v>152716.767123288</v>
      </c>
      <c r="F15" s="4" t="n">
        <f aca="false">$B$6/365*C15*12</f>
        <v>77126.1369863014</v>
      </c>
      <c r="G15" s="4" t="n">
        <f aca="false">D15+E15-F15</f>
        <v>162357.534246575</v>
      </c>
      <c r="H15" s="28" t="n">
        <f aca="false">$B$4</f>
        <v>45</v>
      </c>
      <c r="I15" s="28" t="n">
        <f aca="false">$B$5</f>
        <v>55</v>
      </c>
      <c r="J15" s="28" t="n">
        <f aca="false">H15+I15-$B$6</f>
        <v>60</v>
      </c>
    </row>
    <row r="16" customFormat="false" ht="15" hidden="false" customHeight="false" outlineLevel="0" collapsed="false">
      <c r="A16" s="13" t="s">
        <v>23</v>
      </c>
      <c r="B16" s="4" t="n">
        <f aca="false">SUMIFS(Data_BudgetActual!$E$2:$E$37,Data_BudgetActual!$A$2:$A$37,A16)</f>
        <v>71232</v>
      </c>
      <c r="C16" s="4" t="n">
        <f aca="false">SUMIFS(Data_BudgetActual!$G$2:$G$37,Data_BudgetActual!$A$2:$A$37,A16)</f>
        <v>48347</v>
      </c>
      <c r="D16" s="4" t="n">
        <f aca="false">$B$4/365*C16*12</f>
        <v>71527.0684931507</v>
      </c>
      <c r="E16" s="4" t="n">
        <f aca="false">$B$5/365*B16*12</f>
        <v>128803.068493151</v>
      </c>
      <c r="F16" s="4" t="n">
        <f aca="false">$B$6/365*C16*12</f>
        <v>63579.6164383562</v>
      </c>
      <c r="G16" s="4" t="n">
        <f aca="false">D16+E16-F16</f>
        <v>136750.520547945</v>
      </c>
      <c r="H16" s="28" t="n">
        <f aca="false">$B$4</f>
        <v>45</v>
      </c>
      <c r="I16" s="28" t="n">
        <f aca="false">$B$5</f>
        <v>55</v>
      </c>
      <c r="J16" s="28" t="n">
        <f aca="false">H16+I16-$B$6</f>
        <v>60</v>
      </c>
    </row>
    <row r="17" customFormat="false" ht="15" hidden="false" customHeight="false" outlineLevel="0" collapsed="false">
      <c r="A17" s="13" t="s">
        <v>24</v>
      </c>
      <c r="B17" s="4" t="n">
        <f aca="false">SUMIFS(Data_BudgetActual!$E$2:$E$37,Data_BudgetActual!$A$2:$A$37,A17)</f>
        <v>79516</v>
      </c>
      <c r="C17" s="4" t="n">
        <f aca="false">SUMIFS(Data_BudgetActual!$G$2:$G$37,Data_BudgetActual!$A$2:$A$37,A17)</f>
        <v>54828</v>
      </c>
      <c r="D17" s="4" t="n">
        <f aca="false">$B$4/365*C17*12</f>
        <v>81115.397260274</v>
      </c>
      <c r="E17" s="4" t="n">
        <f aca="false">$B$5/365*B17*12</f>
        <v>143782.356164384</v>
      </c>
      <c r="F17" s="4" t="n">
        <f aca="false">$B$6/365*C17*12</f>
        <v>72102.5753424658</v>
      </c>
      <c r="G17" s="4" t="n">
        <f aca="false">D17+E17-F17</f>
        <v>152795.178082192</v>
      </c>
      <c r="H17" s="28" t="n">
        <f aca="false">$B$4</f>
        <v>45</v>
      </c>
      <c r="I17" s="28" t="n">
        <f aca="false">$B$5</f>
        <v>55</v>
      </c>
      <c r="J17" s="28" t="n">
        <f aca="false">H17+I17-$B$6</f>
        <v>60</v>
      </c>
    </row>
    <row r="18" customFormat="false" ht="15" hidden="false" customHeight="false" outlineLevel="0" collapsed="false">
      <c r="A18" s="13" t="s">
        <v>25</v>
      </c>
      <c r="B18" s="4" t="n">
        <f aca="false">SUMIFS(Data_BudgetActual!$E$2:$E$37,Data_BudgetActual!$A$2:$A$37,A18)</f>
        <v>74393</v>
      </c>
      <c r="C18" s="4" t="n">
        <f aca="false">SUMIFS(Data_BudgetActual!$G$2:$G$37,Data_BudgetActual!$A$2:$A$37,A18)</f>
        <v>52252</v>
      </c>
      <c r="D18" s="4" t="n">
        <f aca="false">$B$4/365*C18*12</f>
        <v>77304.3287671233</v>
      </c>
      <c r="E18" s="4" t="n">
        <f aca="false">$B$5/365*B18*12</f>
        <v>134518.849315068</v>
      </c>
      <c r="F18" s="4" t="n">
        <f aca="false">$B$6/365*C18*12</f>
        <v>68714.9589041096</v>
      </c>
      <c r="G18" s="4" t="n">
        <f aca="false">D18+E18-F18</f>
        <v>143108.219178082</v>
      </c>
      <c r="H18" s="28" t="n">
        <f aca="false">$B$4</f>
        <v>45</v>
      </c>
      <c r="I18" s="28" t="n">
        <f aca="false">$B$5</f>
        <v>55</v>
      </c>
      <c r="J18" s="28" t="n">
        <f aca="false">H18+I18-$B$6</f>
        <v>60</v>
      </c>
    </row>
    <row r="19" customFormat="false" ht="15" hidden="false" customHeight="false" outlineLevel="0" collapsed="false">
      <c r="A19" s="13" t="s">
        <v>26</v>
      </c>
      <c r="B19" s="4" t="n">
        <f aca="false">SUMIFS(Data_BudgetActual!$E$2:$E$37,Data_BudgetActual!$A$2:$A$37,A19)</f>
        <v>80142</v>
      </c>
      <c r="C19" s="4" t="n">
        <f aca="false">SUMIFS(Data_BudgetActual!$G$2:$G$37,Data_BudgetActual!$A$2:$A$37,A19)</f>
        <v>56722</v>
      </c>
      <c r="D19" s="4" t="n">
        <f aca="false">$B$4/365*C19*12</f>
        <v>83917.4794520548</v>
      </c>
      <c r="E19" s="4" t="n">
        <f aca="false">$B$5/365*B19*12</f>
        <v>144914.301369863</v>
      </c>
      <c r="F19" s="4" t="n">
        <f aca="false">$B$6/365*C19*12</f>
        <v>74593.3150684932</v>
      </c>
      <c r="G19" s="4" t="n">
        <f aca="false">D19+E19-F19</f>
        <v>154238.465753425</v>
      </c>
      <c r="H19" s="28" t="n">
        <f aca="false">$B$4</f>
        <v>45</v>
      </c>
      <c r="I19" s="28" t="n">
        <f aca="false">$B$5</f>
        <v>55</v>
      </c>
      <c r="J19" s="28" t="n">
        <f aca="false">H19+I19-$B$6</f>
        <v>60</v>
      </c>
    </row>
    <row r="20" customFormat="false" ht="15" hidden="false" customHeight="false" outlineLevel="0" collapsed="false">
      <c r="A20" s="13" t="s">
        <v>27</v>
      </c>
      <c r="B20" s="4" t="n">
        <f aca="false">SUMIFS(Data_BudgetActual!$E$2:$E$37,Data_BudgetActual!$A$2:$A$37,A20)</f>
        <v>72654</v>
      </c>
      <c r="C20" s="4" t="n">
        <f aca="false">SUMIFS(Data_BudgetActual!$G$2:$G$37,Data_BudgetActual!$A$2:$A$37,A20)</f>
        <v>49458</v>
      </c>
      <c r="D20" s="4" t="n">
        <f aca="false">$B$4/365*C20*12</f>
        <v>73170.7397260274</v>
      </c>
      <c r="E20" s="4" t="n">
        <f aca="false">$B$5/365*B20*12</f>
        <v>131374.356164384</v>
      </c>
      <c r="F20" s="4" t="n">
        <f aca="false">$B$6/365*C20*12</f>
        <v>65040.6575342466</v>
      </c>
      <c r="G20" s="4" t="n">
        <f aca="false">D20+E20-F20</f>
        <v>139504.438356164</v>
      </c>
      <c r="H20" s="28" t="n">
        <f aca="false">$B$4</f>
        <v>45</v>
      </c>
      <c r="I20" s="28" t="n">
        <f aca="false">$B$5</f>
        <v>55</v>
      </c>
      <c r="J20" s="28" t="n">
        <f aca="false">H20+I20-$B$6</f>
        <v>60</v>
      </c>
    </row>
    <row r="22" customFormat="false" ht="15" hidden="false" customHeight="false" outlineLevel="0" collapsed="false">
      <c r="A22" s="29" t="s">
        <v>102</v>
      </c>
      <c r="D22" s="30" t="n">
        <f aca="false">AVERAGE(D9:D20)</f>
        <v>81962.2602739726</v>
      </c>
      <c r="E22" s="30" t="n">
        <f aca="false">AVERAGE(E9:E20)</f>
        <v>145348.876712329</v>
      </c>
      <c r="F22" s="30" t="n">
        <f aca="false">AVERAGE(F9:F20)</f>
        <v>72855.3424657534</v>
      </c>
      <c r="G22" s="30" t="n">
        <f aca="false">AVERAGE(G9:G20)</f>
        <v>154455.794520548</v>
      </c>
      <c r="J22" s="31" t="n">
        <f aca="false">AVERAGE(J9:J20)</f>
        <v>60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7" t="s">
        <v>103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104</v>
      </c>
      <c r="B2" s="8"/>
      <c r="C2" s="8"/>
      <c r="D2" s="8"/>
      <c r="E2" s="8"/>
      <c r="F2" s="8"/>
      <c r="G2" s="8"/>
    </row>
    <row r="4" customFormat="false" ht="15" hidden="false" customHeight="false" outlineLevel="0" collapsed="false">
      <c r="A4" s="12" t="s">
        <v>105</v>
      </c>
    </row>
    <row r="5" customFormat="false" ht="15" hidden="false" customHeight="false" outlineLevel="0" collapsed="false">
      <c r="A5" s="14" t="s">
        <v>106</v>
      </c>
      <c r="B5" s="32" t="n">
        <v>120000</v>
      </c>
    </row>
    <row r="6" customFormat="false" ht="15" hidden="false" customHeight="false" outlineLevel="0" collapsed="false">
      <c r="A6" s="14" t="s">
        <v>107</v>
      </c>
      <c r="B6" s="32" t="n">
        <v>180000</v>
      </c>
    </row>
    <row r="7" customFormat="false" ht="15" hidden="false" customHeight="false" outlineLevel="0" collapsed="false">
      <c r="A7" s="14" t="s">
        <v>108</v>
      </c>
      <c r="B7" s="33" t="n">
        <v>0.08</v>
      </c>
    </row>
    <row r="8" customFormat="false" ht="15" hidden="false" customHeight="false" outlineLevel="0" collapsed="false">
      <c r="A8" s="14" t="s">
        <v>109</v>
      </c>
      <c r="B8" s="33" t="n">
        <v>0.65</v>
      </c>
    </row>
    <row r="9" customFormat="false" ht="15" hidden="false" customHeight="false" outlineLevel="0" collapsed="false">
      <c r="A9" s="14" t="s">
        <v>110</v>
      </c>
      <c r="B9" s="32" t="n">
        <v>15000</v>
      </c>
    </row>
    <row r="10" customFormat="false" ht="15" hidden="false" customHeight="false" outlineLevel="0" collapsed="false">
      <c r="A10" s="14" t="s">
        <v>111</v>
      </c>
      <c r="B10" s="32" t="n">
        <v>5</v>
      </c>
    </row>
    <row r="11" customFormat="false" ht="15" hidden="false" customHeight="false" outlineLevel="0" collapsed="false">
      <c r="A11" s="14" t="s">
        <v>112</v>
      </c>
      <c r="B11" s="33" t="n">
        <v>0.25</v>
      </c>
    </row>
    <row r="12" customFormat="false" ht="15" hidden="false" customHeight="false" outlineLevel="0" collapsed="false">
      <c r="A12" s="14" t="s">
        <v>113</v>
      </c>
      <c r="B12" s="33" t="n">
        <v>0.12</v>
      </c>
    </row>
    <row r="15" customFormat="false" ht="15" hidden="false" customHeight="false" outlineLevel="0" collapsed="false">
      <c r="A15" s="12" t="s">
        <v>114</v>
      </c>
    </row>
    <row r="16" customFormat="false" ht="15" hidden="false" customHeight="false" outlineLevel="0" collapsed="false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1" t="s">
        <v>121</v>
      </c>
    </row>
    <row r="17" customFormat="false" ht="15" hidden="false" customHeight="false" outlineLevel="0" collapsed="false">
      <c r="A17" s="13" t="s">
        <v>122</v>
      </c>
      <c r="B17" s="20"/>
      <c r="C17" s="34" t="n">
        <f aca="false">$B$6</f>
        <v>180000</v>
      </c>
      <c r="D17" s="34" t="n">
        <f aca="false">C17*(1+$B$7)</f>
        <v>194400</v>
      </c>
      <c r="E17" s="34" t="n">
        <f aca="false">D17*(1+$B$7)</f>
        <v>209952</v>
      </c>
      <c r="F17" s="34" t="n">
        <f aca="false">E17*(1+$B$7)</f>
        <v>226748.16</v>
      </c>
      <c r="G17" s="34" t="n">
        <f aca="false">F17*(1+$B$7)</f>
        <v>244888.0128</v>
      </c>
    </row>
    <row r="18" customFormat="false" ht="15" hidden="false" customHeight="false" outlineLevel="0" collapsed="false">
      <c r="A18" s="13" t="s">
        <v>123</v>
      </c>
      <c r="B18" s="20"/>
      <c r="C18" s="34" t="n">
        <f aca="false">C17*$B$8</f>
        <v>117000</v>
      </c>
      <c r="D18" s="34" t="n">
        <f aca="false">D17*$B$8</f>
        <v>126360</v>
      </c>
      <c r="E18" s="34" t="n">
        <f aca="false">E17*$B$8</f>
        <v>136468.8</v>
      </c>
      <c r="F18" s="34" t="n">
        <f aca="false">F17*$B$8</f>
        <v>147386.304</v>
      </c>
      <c r="G18" s="34" t="n">
        <f aca="false">G17*$B$8</f>
        <v>159177.20832</v>
      </c>
    </row>
    <row r="19" customFormat="false" ht="15" hidden="false" customHeight="false" outlineLevel="0" collapsed="false">
      <c r="A19" s="17" t="s">
        <v>124</v>
      </c>
      <c r="B19" s="20"/>
      <c r="C19" s="34" t="n">
        <f aca="false">C17-C18</f>
        <v>63000</v>
      </c>
      <c r="D19" s="34" t="n">
        <f aca="false">D17-D18</f>
        <v>68040</v>
      </c>
      <c r="E19" s="34" t="n">
        <f aca="false">E17-E18</f>
        <v>73483.2</v>
      </c>
      <c r="F19" s="34" t="n">
        <f aca="false">F17-F18</f>
        <v>79361.856</v>
      </c>
      <c r="G19" s="34" t="n">
        <f aca="false">G17-G18</f>
        <v>85710.80448</v>
      </c>
    </row>
    <row r="20" customFormat="false" ht="15" hidden="false" customHeight="false" outlineLevel="0" collapsed="false">
      <c r="A20" s="13" t="s">
        <v>125</v>
      </c>
      <c r="B20" s="20"/>
      <c r="C20" s="34" t="n">
        <f aca="false">$B$9</f>
        <v>15000</v>
      </c>
      <c r="D20" s="34" t="n">
        <f aca="false">$B$9</f>
        <v>15000</v>
      </c>
      <c r="E20" s="34" t="n">
        <f aca="false">$B$9</f>
        <v>15000</v>
      </c>
      <c r="F20" s="34" t="n">
        <f aca="false">$B$9</f>
        <v>15000</v>
      </c>
      <c r="G20" s="34" t="n">
        <f aca="false">$B$9</f>
        <v>15000</v>
      </c>
    </row>
    <row r="21" customFormat="false" ht="15" hidden="false" customHeight="false" outlineLevel="0" collapsed="false">
      <c r="A21" s="17" t="s">
        <v>126</v>
      </c>
      <c r="B21" s="20"/>
      <c r="C21" s="34" t="n">
        <f aca="false">C19-C20</f>
        <v>48000</v>
      </c>
      <c r="D21" s="34" t="n">
        <f aca="false">D19-D20</f>
        <v>53040</v>
      </c>
      <c r="E21" s="34" t="n">
        <f aca="false">E19-E20</f>
        <v>58483.2</v>
      </c>
      <c r="F21" s="34" t="n">
        <f aca="false">F19-F20</f>
        <v>64361.856</v>
      </c>
      <c r="G21" s="34" t="n">
        <f aca="false">G19-G20</f>
        <v>70710.80448</v>
      </c>
    </row>
    <row r="22" customFormat="false" ht="15" hidden="false" customHeight="false" outlineLevel="0" collapsed="false">
      <c r="A22" s="13" t="s">
        <v>127</v>
      </c>
      <c r="B22" s="20"/>
      <c r="C22" s="34" t="n">
        <f aca="false">$B$5/$B$10</f>
        <v>24000</v>
      </c>
      <c r="D22" s="34" t="n">
        <f aca="false">$B$5/$B$10</f>
        <v>24000</v>
      </c>
      <c r="E22" s="34" t="n">
        <f aca="false">$B$5/$B$10</f>
        <v>24000</v>
      </c>
      <c r="F22" s="34" t="n">
        <f aca="false">$B$5/$B$10</f>
        <v>24000</v>
      </c>
      <c r="G22" s="34" t="n">
        <f aca="false">$B$5/$B$10</f>
        <v>24000</v>
      </c>
    </row>
    <row r="23" customFormat="false" ht="15" hidden="false" customHeight="false" outlineLevel="0" collapsed="false">
      <c r="A23" s="17" t="s">
        <v>128</v>
      </c>
      <c r="B23" s="20"/>
      <c r="C23" s="34" t="n">
        <f aca="false">C21-C22</f>
        <v>24000</v>
      </c>
      <c r="D23" s="34" t="n">
        <f aca="false">D21-D22</f>
        <v>29040</v>
      </c>
      <c r="E23" s="34" t="n">
        <f aca="false">E21-E22</f>
        <v>34483.2</v>
      </c>
      <c r="F23" s="34" t="n">
        <f aca="false">F21-F22</f>
        <v>40361.856</v>
      </c>
      <c r="G23" s="34" t="n">
        <f aca="false">G21-G22</f>
        <v>46710.80448</v>
      </c>
    </row>
    <row r="24" customFormat="false" ht="15" hidden="false" customHeight="false" outlineLevel="0" collapsed="false">
      <c r="A24" s="13" t="s">
        <v>129</v>
      </c>
      <c r="B24" s="20"/>
      <c r="C24" s="34" t="n">
        <f aca="false">MAX(C23,0)*$B$11</f>
        <v>6000</v>
      </c>
      <c r="D24" s="34" t="n">
        <f aca="false">MAX(D23,0)*$B$11</f>
        <v>7260</v>
      </c>
      <c r="E24" s="34" t="n">
        <f aca="false">MAX(E23,0)*$B$11</f>
        <v>8620.8</v>
      </c>
      <c r="F24" s="34" t="n">
        <f aca="false">MAX(F23,0)*$B$11</f>
        <v>10090.464</v>
      </c>
      <c r="G24" s="34" t="n">
        <f aca="false">MAX(G23,0)*$B$11</f>
        <v>11677.70112</v>
      </c>
    </row>
    <row r="25" customFormat="false" ht="15" hidden="false" customHeight="false" outlineLevel="0" collapsed="false">
      <c r="A25" s="17" t="s">
        <v>130</v>
      </c>
      <c r="B25" s="20"/>
      <c r="C25" s="34" t="n">
        <f aca="false">C23-C24</f>
        <v>18000</v>
      </c>
      <c r="D25" s="34" t="n">
        <f aca="false">D23-D24</f>
        <v>21780</v>
      </c>
      <c r="E25" s="34" t="n">
        <f aca="false">E23-E24</f>
        <v>25862.4</v>
      </c>
      <c r="F25" s="34" t="n">
        <f aca="false">F23-F24</f>
        <v>30271.392</v>
      </c>
      <c r="G25" s="34" t="n">
        <f aca="false">G23-G24</f>
        <v>35033.10336</v>
      </c>
    </row>
    <row r="26" customFormat="false" ht="15" hidden="false" customHeight="false" outlineLevel="0" collapsed="false">
      <c r="A26" s="17" t="s">
        <v>131</v>
      </c>
      <c r="B26" s="34" t="n">
        <f aca="false">-B5</f>
        <v>-120000</v>
      </c>
      <c r="C26" s="34" t="n">
        <f aca="false">C25+C22</f>
        <v>42000</v>
      </c>
      <c r="D26" s="34" t="n">
        <f aca="false">D25+D22</f>
        <v>45780</v>
      </c>
      <c r="E26" s="34" t="n">
        <f aca="false">E25+E22</f>
        <v>49862.4</v>
      </c>
      <c r="F26" s="34" t="n">
        <f aca="false">F25+F22</f>
        <v>54271.392</v>
      </c>
      <c r="G26" s="34" t="n">
        <f aca="false">G25+G22</f>
        <v>59033.10336</v>
      </c>
    </row>
    <row r="27" customFormat="false" ht="15" hidden="false" customHeight="false" outlineLevel="0" collapsed="false">
      <c r="A27" s="17" t="s">
        <v>132</v>
      </c>
      <c r="B27" s="34" t="n">
        <f aca="false">B26</f>
        <v>-120000</v>
      </c>
      <c r="C27" s="34" t="n">
        <f aca="false">B27+C26</f>
        <v>-78000</v>
      </c>
      <c r="D27" s="34" t="n">
        <f aca="false">C27+D26</f>
        <v>-32220</v>
      </c>
      <c r="E27" s="34" t="n">
        <f aca="false">D27+E26</f>
        <v>17642.4</v>
      </c>
      <c r="F27" s="34" t="n">
        <f aca="false">E27+F26</f>
        <v>71913.792</v>
      </c>
      <c r="G27" s="34" t="n">
        <f aca="false">F27+G26</f>
        <v>130946.89536</v>
      </c>
    </row>
    <row r="29" customFormat="false" ht="15" hidden="false" customHeight="false" outlineLevel="0" collapsed="false">
      <c r="A29" s="17" t="s">
        <v>133</v>
      </c>
      <c r="B29" s="34" t="n">
        <f aca="false">NPV($B$12,C26:G26)+B26</f>
        <v>57474.0261219283</v>
      </c>
    </row>
    <row r="30" customFormat="false" ht="15" hidden="false" customHeight="false" outlineLevel="0" collapsed="false">
      <c r="A30" s="17" t="s">
        <v>134</v>
      </c>
      <c r="B30" s="35" t="n">
        <f aca="false">IRR(B26:G26)</f>
        <v>0.287655857857292</v>
      </c>
    </row>
    <row r="31" customFormat="false" ht="15" hidden="false" customHeight="false" outlineLevel="0" collapsed="false">
      <c r="A31" s="17" t="s">
        <v>135</v>
      </c>
      <c r="B31" s="36" t="n">
        <f aca="false">MATCH(TRUE(),INDEX(B27:G27&gt;=0,0),0)-2+IFERROR(-INDEX(B27:G27,MATCH(TRUE(),INDEX(B27:G27&gt;=0,0),0)-1)/INDEX(C26:G26,MATCH(TRUE(),INDEX(B27:G27&gt;=0,0),0)-1),0)</f>
        <v>2.64617828263381</v>
      </c>
    </row>
    <row r="34" customFormat="false" ht="15" hidden="false" customHeight="false" outlineLevel="0" collapsed="false">
      <c r="A34" s="12" t="s">
        <v>136</v>
      </c>
    </row>
    <row r="35" customFormat="false" ht="15" hidden="false" customHeight="false" outlineLevel="0" collapsed="false">
      <c r="A35" s="1" t="s">
        <v>137</v>
      </c>
      <c r="B35" s="1" t="s">
        <v>138</v>
      </c>
      <c r="C35" s="1" t="s">
        <v>139</v>
      </c>
      <c r="D35" s="1" t="s">
        <v>140</v>
      </c>
    </row>
    <row r="36" customFormat="false" ht="15" hidden="false" customHeight="false" outlineLevel="0" collapsed="false">
      <c r="A36" s="13" t="s">
        <v>141</v>
      </c>
      <c r="B36" s="4" t="n">
        <f aca="false">($B$6*(1+-0.1))-($B$6*(1+-0.1)*$B$8*(1+-0.15))-$B$9</f>
        <v>57495</v>
      </c>
      <c r="C36" s="4" t="n">
        <f aca="false">($B$6*(1+-0.1))-($B$6*(1+-0.1)*$B$8*(1+0))-$B$9</f>
        <v>41700</v>
      </c>
      <c r="D36" s="4" t="n">
        <f aca="false">($B$6*(1+-0.1))-($B$6*(1+-0.1)*$B$8*(1+0.15))-$B$9</f>
        <v>25905</v>
      </c>
    </row>
    <row r="37" customFormat="false" ht="15" hidden="false" customHeight="false" outlineLevel="0" collapsed="false">
      <c r="A37" s="13" t="s">
        <v>142</v>
      </c>
      <c r="B37" s="4" t="n">
        <f aca="false">($B$6*(1+0))-($B$6*(1+0)*$B$8*(1+-0.15))-$B$9</f>
        <v>65550</v>
      </c>
      <c r="C37" s="4" t="n">
        <f aca="false">($B$6*(1+0))-($B$6*(1+0)*$B$8*(1+0))-$B$9</f>
        <v>48000</v>
      </c>
      <c r="D37" s="4" t="n">
        <f aca="false">($B$6*(1+0))-($B$6*(1+0)*$B$8*(1+0.15))-$B$9</f>
        <v>30450</v>
      </c>
    </row>
    <row r="38" customFormat="false" ht="15" hidden="false" customHeight="false" outlineLevel="0" collapsed="false">
      <c r="A38" s="13" t="s">
        <v>143</v>
      </c>
      <c r="B38" s="4" t="n">
        <f aca="false">($B$6*(1+0.1))-($B$6*(1+0.1)*$B$8*(1+-0.15))-$B$9</f>
        <v>73605</v>
      </c>
      <c r="C38" s="4" t="n">
        <f aca="false">($B$6*(1+0.1))-($B$6*(1+0.1)*$B$8*(1+0))-$B$9</f>
        <v>54300</v>
      </c>
      <c r="D38" s="4" t="n">
        <f aca="false">($B$6*(1+0.1))-($B$6*(1+0.1)*$B$8*(1+0.15))-$B$9</f>
        <v>34995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7" t="s">
        <v>144</v>
      </c>
      <c r="B1" s="7"/>
    </row>
    <row r="3" customFormat="false" ht="60" hidden="false" customHeight="true" outlineLevel="0" collapsed="false">
      <c r="A3" s="37" t="s">
        <v>145</v>
      </c>
      <c r="B3" s="38" t="s">
        <v>146</v>
      </c>
    </row>
    <row r="4" customFormat="false" ht="60" hidden="false" customHeight="true" outlineLevel="0" collapsed="false">
      <c r="A4" s="37" t="s">
        <v>147</v>
      </c>
      <c r="B4" s="38" t="s">
        <v>148</v>
      </c>
    </row>
    <row r="5" customFormat="false" ht="60" hidden="false" customHeight="true" outlineLevel="0" collapsed="false">
      <c r="A5" s="37" t="s">
        <v>149</v>
      </c>
      <c r="B5" s="38" t="s">
        <v>150</v>
      </c>
    </row>
    <row r="6" customFormat="false" ht="60" hidden="false" customHeight="true" outlineLevel="0" collapsed="false">
      <c r="A6" s="37" t="s">
        <v>151</v>
      </c>
      <c r="B6" s="38" t="s">
        <v>152</v>
      </c>
    </row>
    <row r="7" customFormat="false" ht="60" hidden="false" customHeight="true" outlineLevel="0" collapsed="false">
      <c r="A7" s="37" t="s">
        <v>153</v>
      </c>
      <c r="B7" s="38" t="s">
        <v>154</v>
      </c>
    </row>
    <row r="8" customFormat="false" ht="60" hidden="false" customHeight="true" outlineLevel="0" collapsed="false">
      <c r="A8" s="37" t="s">
        <v>155</v>
      </c>
      <c r="B8" s="38" t="s">
        <v>156</v>
      </c>
    </row>
    <row r="9" customFormat="false" ht="60" hidden="false" customHeight="true" outlineLevel="0" collapsed="false">
      <c r="A9" s="37" t="s">
        <v>157</v>
      </c>
      <c r="B9" s="38" t="s">
        <v>158</v>
      </c>
    </row>
    <row r="10" customFormat="false" ht="60" hidden="false" customHeight="true" outlineLevel="0" collapsed="false">
      <c r="A10" s="37" t="s">
        <v>159</v>
      </c>
      <c r="B10" s="38" t="s">
        <v>160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2026-09-15T03:27:13Z</dcterms:created>
  <dc:creator>openpyxl</dc:creator>
  <dc:description/>
  <dc:language>en-US</dc:language>
  <cp:lastModifiedBy/>
  <dcterms:modified xsi:type="dcterms:W3CDTF">2026-09-15T03:27:15Z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